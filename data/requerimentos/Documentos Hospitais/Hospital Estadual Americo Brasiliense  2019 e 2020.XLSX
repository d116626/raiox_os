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CONFERIDOS" sheetId="6" r:id="rId1"/>
  </sheets>
  <definedNames>
    <definedName name="_xlnm._FilterDatabase" localSheetId="0" hidden="1">CONFERIDOS!$A$3:$AH$72</definedName>
  </definedNames>
  <calcPr calcId="162913"/>
</workbook>
</file>

<file path=xl/calcChain.xml><?xml version="1.0" encoding="utf-8"?>
<calcChain xmlns="http://schemas.openxmlformats.org/spreadsheetml/2006/main">
  <c r="I11" i="6" l="1"/>
  <c r="H20" i="6" l="1"/>
  <c r="I15" i="6" l="1"/>
  <c r="I34" i="6" l="1"/>
  <c r="I33" i="6"/>
  <c r="I32" i="6"/>
  <c r="I31" i="6"/>
  <c r="I21" i="6"/>
  <c r="I20" i="6"/>
  <c r="I12" i="6"/>
  <c r="I10" i="6"/>
  <c r="I9" i="6"/>
  <c r="I8" i="6"/>
  <c r="I7" i="6"/>
  <c r="I5" i="6"/>
  <c r="I27" i="6"/>
  <c r="I26" i="6"/>
  <c r="I13" i="6"/>
  <c r="I29" i="6" l="1"/>
  <c r="I23" i="6"/>
  <c r="I18" i="6"/>
  <c r="I30" i="6"/>
  <c r="I17" i="6"/>
  <c r="H30" i="6" l="1"/>
  <c r="H29" i="6"/>
  <c r="H28" i="6"/>
  <c r="H27" i="6"/>
  <c r="H26" i="6"/>
  <c r="H25" i="6"/>
  <c r="H23" i="6"/>
  <c r="H22" i="6"/>
  <c r="H21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</calcChain>
</file>

<file path=xl/sharedStrings.xml><?xml version="1.0" encoding="utf-8"?>
<sst xmlns="http://schemas.openxmlformats.org/spreadsheetml/2006/main" count="1728" uniqueCount="438">
  <si>
    <t>Status do Contrato</t>
  </si>
  <si>
    <t>Número</t>
  </si>
  <si>
    <t>Nome do Contratado</t>
  </si>
  <si>
    <t>Data Assinatura</t>
  </si>
  <si>
    <t>Objeto</t>
  </si>
  <si>
    <t>AIMARA COMERCIO E REPRESENTACOES LTDA</t>
  </si>
  <si>
    <t>ALTASEG VIGILÂNCIA EIRELI-ME.</t>
  </si>
  <si>
    <t>BARONI COMERCIO DE PRODUTOS NUTRICIONAIS E HOSPITALARES EIRELI</t>
  </si>
  <si>
    <t>BIOMERIEUX BRASIL INDUSTRIA E COMERCIO DE PRODUTOS LABORATORIAIS LTDA</t>
  </si>
  <si>
    <t>CONSISTE ELEVADORES E SERVICOS LTDA</t>
  </si>
  <si>
    <t>INSTITUTO HERMES PARDINI S/A</t>
  </si>
  <si>
    <t>MACROMED PRODUTOS HOSPITALARES LTDA</t>
  </si>
  <si>
    <t>ORTHO CLINICAL DIAGNOSTICS DO BRASILPRODUTOS PARA SAUDE LTDA</t>
  </si>
  <si>
    <t>PH7 COMÉRCIO E REPRESENTAÇÕES DE PRODUTOS PARA DIAGNÓSTICOS LTDA-EPP</t>
  </si>
  <si>
    <t>ROCHE DIAGNOSTICA BRASIL LTDA.</t>
  </si>
  <si>
    <t>SILVA &amp; SELIME LTDA</t>
  </si>
  <si>
    <t>SPECOOPANESTRP05 - SERVIÇOS MÉDICOS ESPECIALIZADOS EM ANESTESIOLOGIA LTDA.</t>
  </si>
  <si>
    <t>TELEFONICA BRASIL SA</t>
  </si>
  <si>
    <t>80 / 2019</t>
  </si>
  <si>
    <t xml:space="preserve">NATALIA TRANSPORTES E TURISMO LTDA </t>
  </si>
  <si>
    <t>PRESTAÇÃO DE SERVIÇOS DE TRANSPORTE DE EMPREGADOS E PESSOAS CREDENCIADAS PELO HOSPITAL ESTADUAL DE AMÉRICO BRASILIENSE - HEAB, EM VEÍCULOS (ÔNIBUS/MICRO-ÔNIBUS) COM CAPACIDADE MÍNIMA DE 26 (VINTE E SEIS) LUGARES E COM ATÉ 05 ANOS DE USO, INCLUINDO MOTORISTA(S) HABILITADO(S) PARA FAZER O TRAJETO DE 77 KM ENTRE AS CIDADES DE RIBEIRÃO PRETO E AMÉRICO BRASILIENSE, ESTADO DE SÃO PAULO.</t>
  </si>
  <si>
    <t>12 MESES, a contar de 01/04/2019</t>
  </si>
  <si>
    <t>101 / 2019</t>
  </si>
  <si>
    <t>COMERCIAL CIRURGICA RIOCLARENSE LTDA</t>
  </si>
  <si>
    <t>FORNECIMENTO DE LÂMINAS DESCARTÁVEIS, COM CESSÃO EM COMODATO DE 03 (TRÊS) TRICOTOMIZADORES ELÉTRICOS E 03 (TRÊS) CARREGADORES DE TRICOTOMIZADOR, AMBOS MARCA 3M, PARA USO NO ATENDIMENTO AOS PACIENTES DO HOSPITAL ESTADUAL DE AMÉRICO BRASILIENSE - HEAB.</t>
  </si>
  <si>
    <t>12 MESES, a contar de 23/04/2019</t>
  </si>
  <si>
    <t>120 / 2019</t>
  </si>
  <si>
    <t>LIQUIGAS DISTRIBUIDORA S/A</t>
  </si>
  <si>
    <t>FORNECIMENTO ININTERRUPTO DE GÁS LIQUEFEITO DE PETRÓLEO, COM DISPONIBILIZAÇÃO DE 02 (DOIS) TANQUES COM CAPACIDADE DE 2.000 KG CADA E 01 (UM) VAPORIZADOR DE 100 KG/H, COM QUADRO DE REGULAGEMM, SEM ÔNUS À CONTRATANTE, INCLUINDO CONEXÕES, ACESSÓRIOS E SERVIÇOS DE ASSISTÊNCIA TÉCNICA E MANUTENÇÃO PREVENTIVA E CORRETIVA, PARA O HOSPITAL ESTADUAL AMÉRICO BRASILIENSE - HEA</t>
  </si>
  <si>
    <t>12 MESES, a contar de 01/06/2019</t>
  </si>
  <si>
    <t>153 / 2019</t>
  </si>
  <si>
    <t>LAVANDERIA ASPH LTDA.</t>
  </si>
  <si>
    <t>PRESTAÇÃO DE SERVIÇOS DE LAVANDERIA HOSPITALAR EXTERNA, NAS DEPENDÊNCIAS DA CONTRATADA, PARA O HOSPITAL ESTADUAL AMÉRICO BRASILIENSE-HEAB, LOCALIZADO NA ALAMEDA DEPUTADO ALDO LUPO Nº 1260, NA CIDADE DE AMÉRICO BRASILIENSE/SP, NA QUANTIDADE MENSAL ESTIMADA DE 26.500 KG DE ROUPA POR MÊS</t>
  </si>
  <si>
    <t>12 MESES, a contar de 24/06/2019</t>
  </si>
  <si>
    <t>188 / 2019</t>
  </si>
  <si>
    <t>FORNECIMENTO DE DIETAS ENTERAIS, COM CESSÃO, EM COMODATO, DAS BOMBAS DE INFUSÃO DE DIETA ENTERAL, MODELO APLIXX - MARCA FRESENIUS-KABI, VISANDO O ATENDIMENTO DOS PACIENTES DO HOSPITAL ESTADUAL AMÉRICO BRASILIENSE, LOCALIZADO NA ALAMEDA ALDO LUPO, Nº 1.260, CEP 14820-000, NA CIDADE DE AMÉRICO BRASILIENSE-SP</t>
  </si>
  <si>
    <t>12 MESES, a contar de 01/08/2019</t>
  </si>
  <si>
    <t>211 / 2019</t>
  </si>
  <si>
    <t>NGA JARDINOPOLIS- NUCLEO DE GERENCIAMENTO AMBIENTAL LTDA</t>
  </si>
  <si>
    <t>PRESTAÇÃO DE SERVIÇOS DE COLETA, TRANSPORTE, TRATAMENTO E DESTINAÇÃO, PELA CONTRATADA, DOS RESÍDUOS SÓLIDOS DOS SERVIÇOS DE SAÚDE DO GRUPO A, B E E, CLASSIFICADOS NA RDC 222/18 (ANVISA/MS) E RESOLUÇÃO CONAMA 358/2005 DO MINISTÉRIO DO MEIO AMBIENTE, GERADOS NO HOSPITAL ESTADUAL AMÉRICO BRASILIENSE</t>
  </si>
  <si>
    <t>12 MESES, a contar de 01/09/2019</t>
  </si>
  <si>
    <t>230 / 2019</t>
  </si>
  <si>
    <t>MEDEIROS CANDELORE COMÉRCIO E REPRESENTAÇÃO DE MATERIAIS HOSPITALARES LTDA-ME</t>
  </si>
  <si>
    <t>FORNECIMENTO DE TUBO, CANISTER DE FLUIDO E DRENO PARA SUCÇÃO COM CESSÃO EM COMODATO DE ASPIRADOR CIRURGICO.</t>
  </si>
  <si>
    <t>12 MESES, a contar de 02/09/2019</t>
  </si>
  <si>
    <t>258 / 2019</t>
  </si>
  <si>
    <t>CRISTALIA PRODUTOS QUIMICOS E FARMACEUTICOS LTDA.</t>
  </si>
  <si>
    <t>FORNECIMENTO DE ESCOVAS PARA DEGERMAÇÃO E ANTISSEPSIA PRÉ- OPERATÓRIA DAS MÃOS PARA ATENDIMENTO AO HOSPITAL ESTADUAL AMÉRICO BRASILIENSE, LOCALIZADO NA ALAMEDA ALDO LUPO, Nº 1260, NA CIDADE DE AMÉRICO BRASILIENSE-SP</t>
  </si>
  <si>
    <t>12 MESES, a contar de 07/10/2019</t>
  </si>
  <si>
    <t>KIMBERLY CLARK BRASIL IND. E COM. DE PRODUTOS DE HIGIENE LTDA.</t>
  </si>
  <si>
    <t>FORNECIMENTO, PELA CONTRATADA À CONTRATANTE, DE PRODUTOS DE HIGIENE, CONSTITUÍDOS DE PAPEL TOALHA, ÁLCOOL GEL, TECIDO DE LIMPEZA DESCARTÁVEL E PAPEL HIGIÊNICO, COM CESSÃO EM COMODATO DE EQUIPAMENTOS PARA DISPENSAÇÃO DOS PRODUTOS (DISPENSERS), PARA USO DO HOSPITAL ESTADUAL DE AMÉRICO BRASILIENSE - HEAB, LOCALIZADO NA ALAMEDA ALDO LUPO, N° 1.260, NA CIDADE DE AMÉRICO BRASILIENSE-SP</t>
  </si>
  <si>
    <t>SAMTRONIC INDUSTRIA E COMERCIO  LTDA</t>
  </si>
  <si>
    <t>PRORROGAÇÃO DO CONTRATO FAEPA Nº 18/17 QUE TEM POR OBJETO O FORNECIMENTO DE EQUIPOS SIMPLES E EQUIPOS FOTOSSENSÍVEIS COM CESSÃO EM COMODATO DE 55 (CINQUENTA E CINCO) BOMBAS DE INFUSÃO DE EQUIPO DEDICADO, VOLUMÉTRICA PERISTÁLTICA DE ROLETES MARCA SAMTRONIC, MODELO ST550T2, PARA USO DO MATERIAL EM ATENDIMENTOS AOS PACIENTES DO HOSPITAL ESTADUAL DE AMÉRICO BRASILIENSE - HEAB, LOCALIZADO NA ALAMEDA ALDO LUPO, N° 1.260, NA CIDADE DE AMÉRICO BRASILIENSE-SP.</t>
  </si>
  <si>
    <t>12 MESES, a contar de 18/01/2019</t>
  </si>
  <si>
    <t>PRORROGAÇÃO DO CONTRATO 02/14 QUE TRATA DA PRESTAÇÃO DE SERVIÇOS DE TRANSPORTE, PELA CONTRATADA, DE FUNCIONÁRIOS E PESSOAS CREDENCIADAS, ENTRE AS CIDADES DE RIBEIRÃO PRETO E AMÉRICO BRASILIENSE, DE SEGUNDA A SEXTA-FEIRA, MEDIANTE A DISPONIBILIZAÇÃO DE ÔNIBUS</t>
  </si>
  <si>
    <t>45 DIAS, a contar de 17/01/2019</t>
  </si>
  <si>
    <t>PRORROGAÇÃO DO CONTRATO 17/15 QUE TRATA DA LOCAÇÃO DE 01 (UM) EQUIPAMENTO BACT/ALERT 3D 60 PARA HEMOCULTURA, PARA USO NO LABORATÓRIO DE HEMOCULTURA DO HOSPITAL ESTADUAL DE AMÉRICO BRASILIENSE – HEAB</t>
  </si>
  <si>
    <t>12 MESES, a contar de 30/01/2019</t>
  </si>
  <si>
    <t xml:space="preserve">PRORROGAÇÃO DO PRAZO DE VIGÊNCIA PREVISTO NO ITEM "1" DA CLÁUSULA VI DO TERMO FAEPA 03/16, ALTERADO PELOS TERMOS FAEPA RR'S 09/17 E 11/18. </t>
  </si>
  <si>
    <t>12 MESES, a contar de 01/02/2019</t>
  </si>
  <si>
    <t>PRORROGAÇÃO DO CONTRATO 24/15, QUE TRATA DA LOCAÇÃO PELA CONTRATANTE DE 01 (UM) EQUIPAMENTO VITEK 2 COMPACT 60, PARA USO NO LABORATÓRIO DE MICROBIOLOGIA DO HOSPITAL ESTADUAL DE AMÉRICO BRASILIENSE, COM FORNECIMENTO DE REAGENTES PARA REALIZAÇÃO DE EXAMES LABORATORIAIS (CULTURAS GRAM POSITIVAS E NEGA</t>
  </si>
  <si>
    <t>12 MESES, a contar de 05/02/2019</t>
  </si>
  <si>
    <t>PRORROGAÇÃO DO CONTRATO Nº 01/16 QUE TEM POR OBJETO A CESSÃO, EM COMODATO, DE 01 (UMA) CENTRÍFUGA 12S PARA ID CARTÕES E DE 01 (UMA) INCUBADORA 37 SI PARA 02 RACKS DE 24 ID-CARTÕES DESTINADOS A REALIZAÇÃO DE EXAMES DE IMUNO-HEMATOLOGIA, NO LABORATÓRIO DE ANÁLISES CLÍNICAS DO HOSPITAL ESTADUAL DE AMÉRICO BRASILIENSE - HEAB E AQUISIÇÃO DE REAGENTES E INSUMOS PARA REALIZAÇÃO DE EXAMES DE IMUNO-HEMATOLOGIA.</t>
  </si>
  <si>
    <t>PRORROGAÇÃO DO CONTRATO Nº 18/15 QUE TEM POR OBJETO A LOCAÇÃO DE 02 (DOIS) EQUIPAMENTOS DESTINY+KC4 PARA USO NO LABORATÓRIO DE COAGULAÇÃO DO HOSPITAL ESTADUAL DE AMÉRICO BRASILIENSE - HEAB; O FORNECIMENTO DE INSUMOS PARA REALIZAÇÃO DE EXAMES LABORATORIAIS; A MANUTENÇÃO PREVENTIVA-CORRETIVA, SISTEMA DE INTERFACEAMENTO LABORATORIAL COM OS SISTEMAS-HC E ATUALIZAÇÃO TECNOLÓGICAS; E A REALIZAÇÃO DO TREINAMENTO DA EQUIPE DO LABORATÓRIO DE COAGULAÇÃO A SER MINISTRADA PELA CONTRATADA.</t>
  </si>
  <si>
    <t>PRORROGAÇÃO DO CONTRATO FAEPA Nº 22/15 QUE TEM POR OBJETO A LOCAÇÃO, PELA CONTRATANTE, DE 01 EQUIPAMENTO COBAS B121 PARA USO NO LABORATÓRIO DE GASOMETRIA DO HOSPITAL ESTADUAL DE AMÉRICO BRASILIENSE - HEAB; FORNECIMENTO DE INSUMOS PARA REALIZAÇÃO DE EXAMES LABORATORIAIS; MANUTENÇÃO PREVENTIVA-CORRETIVA, SISTEMA DE INTERFACEAMENTO LABORATORIAL COM OS SISTEMAS DA CONTRATANTE E ATUALIZAÇÃO TECNOLÓGICA; E REALIZAÇÃO DO TREINAMENTO DA EQUIPE DO LABORATÓRIO DE GASOMETRIA, A SER MINISTRADA PELA CONTRATADA.</t>
  </si>
  <si>
    <t>PRORROGAÇÃO DO CONTRATO 37/18 QUE TRATA DA PRESTAÇÃO DE SERVIÇO DE TELEFONIA MÓVEL PESSOAL (SMP) E ENCAMINHAMENTO DE LIGAÇÕES LOCAIS E LONGA DISTÂNCIA, DE ACORDO COM AS NORMAS E REGULAMENTOS EXPEDIDOS PELA AGÊNCIA NACIONAL DE TELECOMUNICAÇÕES - ANATEL COM TECNOLOGIA 3G OU SUPERIOR, PARA O HOSPITAL ESTADUAL AMÉRICO BRASILIENSE</t>
  </si>
  <si>
    <t>12 MESES, a contar de 26/02/2019</t>
  </si>
  <si>
    <t>PRORROGAÇÃO DO CONTRATO 09/15, QUE TRATA DA LOCAÇÃO DE 2 EQUIPAMENTOS XT1800 SYSMEX E FORNECIMENTO DE INSUMOS E REAGENTES PARA REALIZAÇÃO DE EXAMES NO LABORATORIO DE HEMATOLOGIA DO HEAB.</t>
  </si>
  <si>
    <t>12 MESES, a contar de 10/02/2019</t>
  </si>
  <si>
    <t>PRORROGAÇÃO DO CONTRATO 32/16 QUE TRATA DA PRESTAÇÃO DE SERVIÇOS PELA CONTRATADA, SOB SUA INTEIRA RESPONSABILIDADE, CONSISTENTES NA REALIZAÇÃO DE EXAMES LABORATORIAIS DE ANÁLISES CLÍNICAS PARA O HOSPITAL ESTADUAL AMÉRICO BRASILIENSE - HEAB, LOCALIZADO NA ALAMEDA ALDO LUPO, N.º 1260, NA CIDADE DE AMÉRICO BRASILIENSE/SP</t>
  </si>
  <si>
    <t>12 MESES, a contar de 01/03/2019</t>
  </si>
  <si>
    <t>OGASEG CONSULTORIA E INFORMATICA S.A.</t>
  </si>
  <si>
    <t>PRORROGAÇÃO DO CONTRATO Nº 81/18 QUE TRATA DA IMPLANTAÇÃO DE SISTEMA DE SEGURANÇA, DENOMINADO "FIREWALL", QUE COMPREENDE A ATUALIZAÇÃO TECNOLÓGICA DO FIREWALL AKER, FORNECIMENTO DE SUBSCRIÇÃO E PRESTAÇÃO DE SERVIÇOS DE SUPORTE E ASSISTÊNCIA TÉCNICA</t>
  </si>
  <si>
    <t>12 MESES, a contar de 15/02/2019</t>
  </si>
  <si>
    <t>PRORROGAÇÃO DO CONTRATO FAEPA Nº 37/16 QUE TEM POR OBJETO A LOCAÇÃO DE 01 (UM) EQUIPAMENTO DE AUTOMAÇÃO "ANALISADOR VITROS" JOHNSON &amp; JOHNSON, MODELO V250, INCLUINDO CONTROLES, CALIBRADORES E DESCARTÁVEIS, ASSISTÊNCIA CIENTÍFICA E PEÇAS, PARA USO NO LABORATÓRIO DE ANÁLISES CLÍNICAS DO HOSPITAL ESTADUAL AMÉRICO BRASILIENSE - HEAB; FORNECIMENTO DE INSUMOS PARA REALIZAÇÃO DOS TESTES (INCLUINDO CONTROLES, CALIBRADORES E DESCARTÁVEIS), MANUTENÇÃO PREVENTIVO-CORRETIVA, SISTEMA DE INTERFACEAMENTO LABORATORIAL COM OS SISTEMAS-HC E ATUALIZAÇÃO TECNOLÓGICAS; REALIZAÇÃO DO TREINAMENTO DA EQUIPE DO LABORATÓRIO DE BIOQUÍMICA.</t>
  </si>
  <si>
    <t>12 MESES, a contar de 14/03/2019</t>
  </si>
  <si>
    <t>PRORROGAÇÃO DO CONTRATO 96/17 QUE TRATA DO FORNECIMENTO, PELA CONTRATADA À CONTRATANTE, DE COAGUCHEK XS PT TESTE E COAGUCHEK PT CONTROLE COM CESSÃO EM COMODATO DO EQUIPAMENTO COAGUCHEK XS PRO SÉRIE 05308121, PARA USO DOS REAGENTES NO ATENDIMENTO AOS PACIENTES DO HOSPITAL ESTADUAL DE AMÉRICO BRASILIENSE - HEAB, LOCALIZADO NA ALAMEDA ALDO LUPO, N° 1.260, NA CIDADE DE AMÉRICO BRASILIENSE-SP.</t>
  </si>
  <si>
    <t>12 MESES, a contar de 02/05/2019</t>
  </si>
  <si>
    <t>PRORROGAÇÃO E ALTERAÇÃO DO CONTRATO 250/17 QUE TRATA DO FORNECIMENTO CONTINUADO DE GASES MEDICINAIS, INCLUINDO A LOCAÇÃO E SERVIÇOS DE MANUTENÇÃO PREVENTIVA E CORRETIVA DE TANQUE CRIOGÊNICO DE ARMAZENAMENTO E ABASTECIMENTO DE OXIGÊNIO MEDICINAL LÍQUIDO PARA O HOSPITAL ESTADUAL AMÉRICO BRASILIENSE - HEAB</t>
  </si>
  <si>
    <t>12 MESES, a contar de 02/10/2019</t>
  </si>
  <si>
    <t>PRORROGAÇÃO DO CONTRATO 141/14,  QUE TRATA DA PRESTAÇÃO DE SERVIÇOS DE VIGILÂNCIA/SEGURANÇA PATRIMONIAL PARA O HOSPITAL ESTADUAL AMÉRICO BRASILIENSE, LOCALIZADO NA ALAMEDA ALDO LUPO, 1260, AMÉRICO BRASILIENSE – SP</t>
  </si>
  <si>
    <t>52 DIAS, a contar de 10/10/2019</t>
  </si>
  <si>
    <t>PRORROGAÇÃO DO CONTRATO 162/16 QUE TRATA DA PRESTAÇÃO DE SERVIÇOS MÉDICO-HOSPITALARES, PELA CONTRATADA, NA ÁREA MÉDICA DE ANESTESIOLOGIA, PARA A REALIZAÇÃO DE PROCEDIMENTOS ANESTÉSICOS E DE COORDENAÇÃO DAS ATIVIDADES DA ÁREA DE ANESTESIA DO HOSPITAL ESTADUAL AMÉRICO BRASILIENSE - HEAB.</t>
  </si>
  <si>
    <t>12 MESES, a contar de 01/11/2019</t>
  </si>
  <si>
    <t>PRORROGAÇÃO DO CONTRATO Nº 158/15, QUE TRATA DOS SERVIÇOS DE MANUTENÇÃO PREVENTIVA E CORRETIVA, COM PEÇAS INCLUSAS, EM 04 (QUATRO) ELEVADORES E (01) PLATAFORMA VERTICAL INSTALADOS NO HOSPITAL ESTADUAL AMÉRICO BRASILIENSE</t>
  </si>
  <si>
    <t>12 MESES, a contar de 16/11/2019</t>
  </si>
  <si>
    <t>Valor Pago no Exercício 2019 (R$)</t>
  </si>
  <si>
    <t>ATIVO</t>
  </si>
  <si>
    <t>ENCERRADO</t>
  </si>
  <si>
    <t>CNPJ</t>
  </si>
  <si>
    <t>CPF</t>
  </si>
  <si>
    <t>Nome</t>
  </si>
  <si>
    <t>57.690.901/0001-70</t>
  </si>
  <si>
    <t>260.857.368-19</t>
  </si>
  <si>
    <t>ANDRE LUIS PARREIRA</t>
  </si>
  <si>
    <t>083.191.988-44</t>
  </si>
  <si>
    <t>NEIDE DE PAULA PARREIRA</t>
  </si>
  <si>
    <t>67.729.178/0001-49</t>
  </si>
  <si>
    <t>110.027.848-67</t>
  </si>
  <si>
    <t>ANA LUCIA BARBOSA PROCHNOW</t>
  </si>
  <si>
    <t>255.947.448-43</t>
  </si>
  <si>
    <t>GUSTAVO ALEXANDRE PROCHNOW</t>
  </si>
  <si>
    <t>218.039.068-80</t>
  </si>
  <si>
    <t>PAULO CESAR PROCHNOW</t>
  </si>
  <si>
    <t>138.498.468-59</t>
  </si>
  <si>
    <t>WALTR PROCHNOW JUNIOR</t>
  </si>
  <si>
    <t>60.886.413/0001-47</t>
  </si>
  <si>
    <t>11.252.888/0001-76</t>
  </si>
  <si>
    <t>727.164.959-04</t>
  </si>
  <si>
    <t>322.579.428-76</t>
  </si>
  <si>
    <t>EDSON MARCELO BEUTING</t>
  </si>
  <si>
    <t>FRANCISCO WILSON ZANETICH</t>
  </si>
  <si>
    <t>09.394.802/0001-06</t>
  </si>
  <si>
    <t>015.403.498-37</t>
  </si>
  <si>
    <t>NILZA RAYMUNDO DE MATTOS BARONI</t>
  </si>
  <si>
    <t>10.556.415/0001-08</t>
  </si>
  <si>
    <t>21.208.125/0001-81</t>
  </si>
  <si>
    <t>061.252.836-74</t>
  </si>
  <si>
    <t>RODRIGO ALVES MEDEIROS</t>
  </si>
  <si>
    <t>44.734.671/0001-51</t>
  </si>
  <si>
    <t>58.426.628/0001-33</t>
  </si>
  <si>
    <t>038.306.258-63</t>
  </si>
  <si>
    <t>EDGAR FELIX MULLER</t>
  </si>
  <si>
    <t>225.429.368-03</t>
  </si>
  <si>
    <t>PAULO EDUARDO PARO RIBEIRO</t>
  </si>
  <si>
    <t>367.402.728-32</t>
  </si>
  <si>
    <t>PEDRO ALEXANDRE BARBOSA SILVEIRA</t>
  </si>
  <si>
    <t>453.788.434-72</t>
  </si>
  <si>
    <t>VERA HELENA PENTEADO MULLER</t>
  </si>
  <si>
    <t>33.040.635/0006-86</t>
  </si>
  <si>
    <t>SÕCIOS NÃO INFORMADOS</t>
  </si>
  <si>
    <t>67.605.212/0001-73</t>
  </si>
  <si>
    <t>133.365.308-57</t>
  </si>
  <si>
    <t>AUCILENE ANTONIA MOREIRA DA SILVA</t>
  </si>
  <si>
    <t>036.000.878-00</t>
  </si>
  <si>
    <t>SERGIO SELIME</t>
  </si>
  <si>
    <t>57.202.418-0001-07</t>
  </si>
  <si>
    <t>058.293.488-53</t>
  </si>
  <si>
    <t>AILTON MARQUES RAMOS</t>
  </si>
  <si>
    <t>108.096.468-11</t>
  </si>
  <si>
    <t>CIZALTINA COUTO MARQUES RAMOS</t>
  </si>
  <si>
    <t>02.558.157-0001-62</t>
  </si>
  <si>
    <t>05.553.662/0001-02</t>
  </si>
  <si>
    <t>01.919.316/0001-44</t>
  </si>
  <si>
    <t>21.921.393/0003-08</t>
  </si>
  <si>
    <t>WHITE MARTINS GASES INDUSTRIAIS LTDA.</t>
  </si>
  <si>
    <t>SÓCIOS NÃO INFORMADOS</t>
  </si>
  <si>
    <t>15.803.220/0001-20</t>
  </si>
  <si>
    <t>67.629.840/0001-99</t>
  </si>
  <si>
    <t>702.560.398-87</t>
  </si>
  <si>
    <t>ALBERTO MIRANDA SOUZA</t>
  </si>
  <si>
    <t>158.178.138-58</t>
  </si>
  <si>
    <t>GIAN CARLO MOURA DE LIMA</t>
  </si>
  <si>
    <t>029.225.658-23</t>
  </si>
  <si>
    <t xml:space="preserve">JOAQUIM PEDRO DE FIGUEIREDO NETO </t>
  </si>
  <si>
    <t>427.675.008-32</t>
  </si>
  <si>
    <t>ADRIEL LUIZ DESEN DA SILVA</t>
  </si>
  <si>
    <t>062.580.637-99</t>
  </si>
  <si>
    <t>SANTIAGO MONTES VELEZ</t>
  </si>
  <si>
    <t>59.920.132/0001-84</t>
  </si>
  <si>
    <t>557.810.018-34</t>
  </si>
  <si>
    <t>SUELY STELLA CHINEN</t>
  </si>
  <si>
    <t>003.528.426-03</t>
  </si>
  <si>
    <t>ALESSANDRO CLAYTON DE SOUZA FERREIRA</t>
  </si>
  <si>
    <t>844.222.896-91</t>
  </si>
  <si>
    <t>ROBERTO SANTORO MEIRELLES</t>
  </si>
  <si>
    <t>10.963.608/0001-75</t>
  </si>
  <si>
    <t>30.280.358/0006-90</t>
  </si>
  <si>
    <t>35.820.448/0001-36</t>
  </si>
  <si>
    <t>Vigência 2019</t>
  </si>
  <si>
    <t>Vigência 2020</t>
  </si>
  <si>
    <t>Valor Pago no Exercício 2020 (R$)</t>
  </si>
  <si>
    <t>Sócio 1</t>
  </si>
  <si>
    <t>Sócio 2</t>
  </si>
  <si>
    <t>Sócio 3</t>
  </si>
  <si>
    <t>Sócio 4</t>
  </si>
  <si>
    <t>Sócio 5</t>
  </si>
  <si>
    <t>Sócio 6</t>
  </si>
  <si>
    <t>Sócio 7</t>
  </si>
  <si>
    <t>Sócio 8</t>
  </si>
  <si>
    <t>Sócio 9</t>
  </si>
  <si>
    <t>Sócio 10</t>
  </si>
  <si>
    <t>Sócio 11</t>
  </si>
  <si>
    <t>Sócio 12</t>
  </si>
  <si>
    <t>18 / 2017</t>
  </si>
  <si>
    <t>17 / 2015</t>
  </si>
  <si>
    <t>. 02 / 2014</t>
  </si>
  <si>
    <t>24 / 2015</t>
  </si>
  <si>
    <t>.01/2016</t>
  </si>
  <si>
    <t>18 / 2015</t>
  </si>
  <si>
    <t>22 / 2015</t>
  </si>
  <si>
    <t>37 / 2018</t>
  </si>
  <si>
    <t>.09 / 2015</t>
  </si>
  <si>
    <t>32 / 2016</t>
  </si>
  <si>
    <t>81 / 2018</t>
  </si>
  <si>
    <t>37 / 2016</t>
  </si>
  <si>
    <t>96 / 2017</t>
  </si>
  <si>
    <t>250 / 2017</t>
  </si>
  <si>
    <t>141 / 2014</t>
  </si>
  <si>
    <t>162 / 2016</t>
  </si>
  <si>
    <t>158 / 2015</t>
  </si>
  <si>
    <t>19.378.769/0001-76</t>
  </si>
  <si>
    <t>. 03 / 2016</t>
  </si>
  <si>
    <t>12 MESES, A CONTAR DE 05/02/2019</t>
  </si>
  <si>
    <t>12 MESES, A CONTAR DE 16/11/2019</t>
  </si>
  <si>
    <t>12 MESES, A CONTAR DE 01/03/2020</t>
  </si>
  <si>
    <t>12 MESES, A CONTAR DE 01/11/2019</t>
  </si>
  <si>
    <t>12 MESES, A CONTAR DE 18/01/2020</t>
  </si>
  <si>
    <t>12 MESES, A CONTAR DE 02/05/2019</t>
  </si>
  <si>
    <t>12 MESES, A CONTAR DE 02/10/2019</t>
  </si>
  <si>
    <t>12 MESES, A CONTAR DE 01/04/2019</t>
  </si>
  <si>
    <t>12 MESES, A CONTAR DE 01/06/2020</t>
  </si>
  <si>
    <t>12 MESES, A CONTAR DE 24/06/2020</t>
  </si>
  <si>
    <t>12 MESES, A CONTAR DE 01/08/2019</t>
  </si>
  <si>
    <t>12 MESES, A CONTAR DE 01/09/2019</t>
  </si>
  <si>
    <t>12 MESES, A CONTAR DE 07/10/2019</t>
  </si>
  <si>
    <t>12 MESES, A CONTAR DE 26/02/2020</t>
  </si>
  <si>
    <t>12 MESES, A CONTAR DE 10/02/2019</t>
  </si>
  <si>
    <t>12 MESES, A CONTAR DE 15/02/2020</t>
  </si>
  <si>
    <t>12 MESES, A CONTAR DE 14/03/2020</t>
  </si>
  <si>
    <t>02.290.277/0023-37</t>
  </si>
  <si>
    <t>12 MESES, A CONTAR DE 06/12/2019</t>
  </si>
  <si>
    <t>02.983.749/0001-21</t>
  </si>
  <si>
    <t>FORÇA E APOIO SEGURANÇA PRIVADA LTDA.</t>
  </si>
  <si>
    <t>PRESTAÇÃO DE SERVIÇOS DE VIGILÂNCIA/SEGURANÇA PATRIMONIAL PARA O HOSPITAL ESTADUAL DE AMÉRICO BRASILIENSE - HEAB, SITO À ALAMEDA ALDO LUPO, Nº 1260, NA CIDADE AMÉRICO BRASILIENSE - SP.</t>
  </si>
  <si>
    <t>12 MESES, A CONTAR DE 01/02/2020</t>
  </si>
  <si>
    <t>013.178.408-01</t>
  </si>
  <si>
    <t>ANGELA LERENO MARTINS</t>
  </si>
  <si>
    <t>993.667.978-49</t>
  </si>
  <si>
    <t>CRISTOVAM MARTINS NETO</t>
  </si>
  <si>
    <t>07.684.716/0001-02</t>
  </si>
  <si>
    <t>CRISP TRANSPORTES E TURISMO LTDA</t>
  </si>
  <si>
    <t>PRESTAÇÃO DE SERVIÇOS DE TRANSPORTE DE EMPREGADOS E PESSOAS CREDENCIADAS PELO HOSPITAL ESTADUAL DE AMÉRICO BRASILIENSE - HEAB, EM VEÍCULOS (ÔNIBUS/MICRO-ÔNIBUS) COM CAPACIDADE MÍNIMA DE 26 (VINTE E SEIS) LUGARES, INCLUINDO MOTORISTA(S) HABILITADO(S) PARA FAZER O TRAJETO DE 77 KM ENTRE AS CIDADES DE RIBEIRÃO PRETO E AMÉRICO BRASILIENSE, ESTADO DE SÃO PAULO, DE ACORDO COM OS ITINERÁRIOS, HORÁRIOS, DISPOSIÇÕES E DIRETRIZES ESTABELECIDAS NO MEMORIAL DESCRITIVO QUE INTEGRA O PROCESSO FAEPA 329/2020.</t>
  </si>
  <si>
    <t>6 MESES, A CONTAR DE 01/04/2020</t>
  </si>
  <si>
    <t>268.416.988-86</t>
  </si>
  <si>
    <t>DENISE CRISP MANISCALCO</t>
  </si>
  <si>
    <t>58.652.728/0001-88</t>
  </si>
  <si>
    <t>JJSV  PRODUTOS ÓTICOS LTDA</t>
  </si>
  <si>
    <t>FORNECIMENTO DE LIO ACRILICA SENSAR E CARTUCHO PARA INSERÇÃO LIO PARA O HOSPITAL ESTADUAL DE AMÉRICO BRASILIENSE - HEAB.</t>
  </si>
  <si>
    <t>12 MESES, A CONTAR DE 30/11/2018</t>
  </si>
  <si>
    <t>12 MESES, A CONTAR DE 02/09/2019</t>
  </si>
  <si>
    <t>823.707.027-53</t>
  </si>
  <si>
    <t xml:space="preserve">CELSO DA FROTA BRAGA </t>
  </si>
  <si>
    <t>408.859.680-34</t>
  </si>
  <si>
    <t xml:space="preserve">CLAIR TEREZINHA DA ROSA </t>
  </si>
  <si>
    <t>086.809.277-08</t>
  </si>
  <si>
    <t xml:space="preserve">DANIEL PEREIRA DE ALBUQUERQUE ENNES </t>
  </si>
  <si>
    <t>117.838.328-86</t>
  </si>
  <si>
    <t xml:space="preserve">EDUARDO LUIS MARTINS </t>
  </si>
  <si>
    <t>489.969.471-72</t>
  </si>
  <si>
    <t xml:space="preserve">ERIVALDO ALFREDO GOMES </t>
  </si>
  <si>
    <t>522.549.096-49</t>
  </si>
  <si>
    <t xml:space="preserve">GERALDO MAGELA DE ABREU </t>
  </si>
  <si>
    <t>236.194.737-49</t>
  </si>
  <si>
    <t xml:space="preserve">LUIZ FERNANDO MARINHO NUNES </t>
  </si>
  <si>
    <t>849.022.137-53</t>
  </si>
  <si>
    <t xml:space="preserve">MARCELO KLUJSZA </t>
  </si>
  <si>
    <t>639.388.398-72</t>
  </si>
  <si>
    <t xml:space="preserve">PLINIO OSVALDO BRESSAN </t>
  </si>
  <si>
    <t>637.139.346-49</t>
  </si>
  <si>
    <t xml:space="preserve">RODRIGO SOLHA PAZZINI DE FREITAS </t>
  </si>
  <si>
    <t>043.391.038-02</t>
  </si>
  <si>
    <t>VALMIR RIAN GAZZOLI</t>
  </si>
  <si>
    <t>784.999.921-53</t>
  </si>
  <si>
    <t>ALEXANDRE FERREIRA BUENO</t>
  </si>
  <si>
    <t>GEO VISION SOLUCOES AMBIENTAIS E ENERGIA S/A</t>
  </si>
  <si>
    <t>029.429.037-08</t>
  </si>
  <si>
    <t>JULIO CESAR DE SA VOLOTAO</t>
  </si>
  <si>
    <t>NGA NUCLEO DE GERENCIAMENTO AMBIENTAL LTDA</t>
  </si>
  <si>
    <t>313.538.838-76</t>
  </si>
  <si>
    <t>THIAGO FERNANDES</t>
  </si>
  <si>
    <t>107.939.238-67</t>
  </si>
  <si>
    <t xml:space="preserve">ANDREA STEVANATTO </t>
  </si>
  <si>
    <t>356.579.328-70</t>
  </si>
  <si>
    <t xml:space="preserve">FELIPE STEVANATTO SAMPAIO </t>
  </si>
  <si>
    <t>152.504.898-85</t>
  </si>
  <si>
    <t xml:space="preserve">IRIS SCUSSEL STEVANATTO </t>
  </si>
  <si>
    <t xml:space="preserve">JMS PARTICIPACOES LTDA </t>
  </si>
  <si>
    <t>221.011.758-51</t>
  </si>
  <si>
    <t xml:space="preserve">KARIME BITTAR STEVANATTO GEROLIN </t>
  </si>
  <si>
    <t>865.890.838-00</t>
  </si>
  <si>
    <t xml:space="preserve">LUIZ STEVANATTO NETO </t>
  </si>
  <si>
    <t xml:space="preserve">OCP PARTICIPACOES LTDA </t>
  </si>
  <si>
    <t>014.645.078-72</t>
  </si>
  <si>
    <t xml:space="preserve">OGARI DE CASTRO PACHECO </t>
  </si>
  <si>
    <t>158.634.408-05</t>
  </si>
  <si>
    <t xml:space="preserve">RENATA PACHECO CARVALHO SANTOS </t>
  </si>
  <si>
    <t>184.309.758-37</t>
  </si>
  <si>
    <t xml:space="preserve">RICARDO SANTOS PACHECO </t>
  </si>
  <si>
    <t>191.122.338-03</t>
  </si>
  <si>
    <t xml:space="preserve">ROGERIO SANTOS PACHECO </t>
  </si>
  <si>
    <t>346.731.198-94</t>
  </si>
  <si>
    <t>THIAGO STEVANATTO SAMPAIO</t>
  </si>
  <si>
    <t>144.876.518-83</t>
  </si>
  <si>
    <t xml:space="preserve">ANA THERESA MASETTI BORNARI </t>
  </si>
  <si>
    <t>371.560.557-04</t>
  </si>
  <si>
    <t xml:space="preserve">ANTONIO CARLOS VALENTE DA SILVA </t>
  </si>
  <si>
    <t>711.936.930-04</t>
  </si>
  <si>
    <t xml:space="preserve">BRENO RODRIGO PACHECO DE OLIVEIRA </t>
  </si>
  <si>
    <t>203.838.628-50</t>
  </si>
  <si>
    <t xml:space="preserve">CHRISTIAN MAUAD GEBARA </t>
  </si>
  <si>
    <t>006.288.028-46</t>
  </si>
  <si>
    <t xml:space="preserve">CLAUDIA MARIA COSTIN </t>
  </si>
  <si>
    <t>238.558.708-45</t>
  </si>
  <si>
    <t xml:space="preserve">DAVID MELCON SANCHEZ-FRIERA </t>
  </si>
  <si>
    <t>531.710.556-00</t>
  </si>
  <si>
    <t xml:space="preserve">EDUARDO NAVARRO DE CARVALHO </t>
  </si>
  <si>
    <t>241.088.728-78</t>
  </si>
  <si>
    <t xml:space="preserve">FRANCISCO JAVIER DE PAZ MANCHO </t>
  </si>
  <si>
    <t>219.917.108-60</t>
  </si>
  <si>
    <t xml:space="preserve">JOSE MARIA DEL REY OSORIO </t>
  </si>
  <si>
    <t>817.483.020-00</t>
  </si>
  <si>
    <t xml:space="preserve">JUAN CARLOS ROS BRUGUERAS </t>
  </si>
  <si>
    <t>241.088.768-65</t>
  </si>
  <si>
    <t xml:space="preserve">JULIO ESTEBAN LINARES LOPEZ </t>
  </si>
  <si>
    <t>019.489.978-00</t>
  </si>
  <si>
    <t xml:space="preserve">LUIZ FERNANDO FURLAN </t>
  </si>
  <si>
    <t>241.097.408-27</t>
  </si>
  <si>
    <t xml:space="preserve">NARCIS SERRA SERRA </t>
  </si>
  <si>
    <t>022.306.678-82</t>
  </si>
  <si>
    <t>SONIA JULIA SULZBECK VILLALOBOS</t>
  </si>
  <si>
    <t>146.631.628-43</t>
  </si>
  <si>
    <t>GLORIA YUMI TOYAMA NAGAO</t>
  </si>
  <si>
    <t>OCD INVESTMENT HOLDINGS B.V</t>
  </si>
  <si>
    <t>ORTHO - CLINICAL DIAGNOSTICS FINCO S.A.R.L</t>
  </si>
  <si>
    <t>134.982.198-55</t>
  </si>
  <si>
    <t>ROGERIO PESTANA BRANCONARO</t>
  </si>
  <si>
    <t>012.946.998-06</t>
  </si>
  <si>
    <t>RONALDO LOIOLA DA SILVA</t>
  </si>
  <si>
    <t>240.856.158-23</t>
  </si>
  <si>
    <t>JOSE ANTONIO VERGARA MONCAYO</t>
  </si>
  <si>
    <t>234.854.528-40</t>
  </si>
  <si>
    <t>MARIA JULIANA TURCATTI PAGANINI</t>
  </si>
  <si>
    <t>ROCHE DIAGNOSTICS INTERNATIONAL AG</t>
  </si>
  <si>
    <t>ROCHE FINANCE LTD</t>
  </si>
  <si>
    <t>010.376.616-21</t>
  </si>
  <si>
    <t xml:space="preserve">ADRIANA SOARES FOGACA DE AGUIAR </t>
  </si>
  <si>
    <t>215.277.968-17</t>
  </si>
  <si>
    <t xml:space="preserve">ALEXANDRE MAITTO CAPUTO </t>
  </si>
  <si>
    <t>337.876.838-01</t>
  </si>
  <si>
    <t xml:space="preserve">ANAISA CAPARROZ DUARTE SAVENHAGO </t>
  </si>
  <si>
    <t>974.020.106-78</t>
  </si>
  <si>
    <t xml:space="preserve">ANTONIO PEREIRA DE SOUZA FILHO </t>
  </si>
  <si>
    <t>084.948.668-85</t>
  </si>
  <si>
    <t xml:space="preserve">CARLOS ALBERTO LOPES </t>
  </si>
  <si>
    <t>338.986.848-81</t>
  </si>
  <si>
    <t xml:space="preserve">CIBELE CRISTINA LUCIANO MARQUES </t>
  </si>
  <si>
    <t>311.700.798-90</t>
  </si>
  <si>
    <t xml:space="preserve">CLAUDIO HENRIQUE FREIRE PERRE </t>
  </si>
  <si>
    <t>100.991.558-42</t>
  </si>
  <si>
    <t xml:space="preserve">CLAUDIO TOLLER URSOLINO </t>
  </si>
  <si>
    <t xml:space="preserve">COOPERATIVA DOS ANESTESIOLOGISTAS DE RIBEIRAO PRETO - COOPAN </t>
  </si>
  <si>
    <t>087.514.016-57</t>
  </si>
  <si>
    <t xml:space="preserve">DIOGO MACIEL CALASANS </t>
  </si>
  <si>
    <t>074.232.266-10</t>
  </si>
  <si>
    <t xml:space="preserve">EDILAINE CRISTIAN MELO </t>
  </si>
  <si>
    <t>046.532.746-06</t>
  </si>
  <si>
    <t xml:space="preserve">EVERTON NUNES DE MELO MOURA </t>
  </si>
  <si>
    <t>062.557.428-14</t>
  </si>
  <si>
    <t xml:space="preserve">GISELE MATTIOLO OLIVEIRA </t>
  </si>
  <si>
    <t>285.630.598-90</t>
  </si>
  <si>
    <t xml:space="preserve">GUILHERME ZEMI </t>
  </si>
  <si>
    <t>337.681.778-23</t>
  </si>
  <si>
    <t xml:space="preserve">LENISE YOSHIMI KAYANO LOPES </t>
  </si>
  <si>
    <t>290.993.938-30</t>
  </si>
  <si>
    <t xml:space="preserve">MARCIA REGINA FERRARESI FERREIRA JORGE </t>
  </si>
  <si>
    <t>324.333.408-02</t>
  </si>
  <si>
    <t xml:space="preserve">MATEUS LEANDRO PERES </t>
  </si>
  <si>
    <t>017.439.260-57</t>
  </si>
  <si>
    <t xml:space="preserve">NADINE DAVID FERRI </t>
  </si>
  <si>
    <t>220.627.028-50</t>
  </si>
  <si>
    <t xml:space="preserve">NATALIA MANZONI CABRERA ALVES </t>
  </si>
  <si>
    <t>310.596.028-73</t>
  </si>
  <si>
    <t xml:space="preserve">RAFAEL RISSATO FERREIRA </t>
  </si>
  <si>
    <t>059.664.216-41</t>
  </si>
  <si>
    <t xml:space="preserve">RENATO LUCAS PASSOS DE SOUZA </t>
  </si>
  <si>
    <t>149.463.598-42</t>
  </si>
  <si>
    <t xml:space="preserve">ROGERIO WILLIAN FIRMINO </t>
  </si>
  <si>
    <t>038.210.404-83</t>
  </si>
  <si>
    <t xml:space="preserve">SEMYRAMIS MARIA FREIRE SOARES DOS SANTOS </t>
  </si>
  <si>
    <t>351.200.528-43</t>
  </si>
  <si>
    <t>TALITA DE ALMEIDA BARBOSA</t>
  </si>
  <si>
    <t>ABDELIA COMERCIAL LTDA.</t>
  </si>
  <si>
    <t>168.476.278-24</t>
  </si>
  <si>
    <t>ALESSANDRA CRISTINA DA COSTA MORRISON</t>
  </si>
  <si>
    <t>249.412.028-48</t>
  </si>
  <si>
    <t>CLAUDIO DANIEL REZENDE VILARDO</t>
  </si>
  <si>
    <t>107.163.047-40</t>
  </si>
  <si>
    <t>FABIO NOGUEIRA MAGALHAES</t>
  </si>
  <si>
    <t>KIMBERLY - CLARK PRODUTOS PARA SAUDE LTDA</t>
  </si>
  <si>
    <t>704.099.600-63</t>
  </si>
  <si>
    <t>RODRIGO MELECCHI DE OLIVEIRA FREITAS</t>
  </si>
  <si>
    <t>165.996.928-00</t>
  </si>
  <si>
    <t>SERGIO HENRIQUE MONTANHA</t>
  </si>
  <si>
    <t>AMO INTERNATIONAL HOLDINGS</t>
  </si>
  <si>
    <t>AMO NOMINEE HOLDINGS</t>
  </si>
  <si>
    <t>126.898.818-96</t>
  </si>
  <si>
    <t>CARLA CARVALHO DE SILVEIRA</t>
  </si>
  <si>
    <t>717.803.519-68</t>
  </si>
  <si>
    <t>JEAN CARLOS ROSSA</t>
  </si>
  <si>
    <t>148.362.498-64</t>
  </si>
  <si>
    <t>MARCOS SERGIO MACEDO GONZAGA LEITAO</t>
  </si>
  <si>
    <t>255.845.668-70</t>
  </si>
  <si>
    <t>VIVIAN DE FREITAS E RODRIGUES DE OLIVEIRA</t>
  </si>
  <si>
    <t>235.335.628-16</t>
  </si>
  <si>
    <t>ZALINA BUGOVA</t>
  </si>
  <si>
    <t>Sócio 13</t>
  </si>
  <si>
    <t>Sócio 14</t>
  </si>
  <si>
    <t>Sócio 15</t>
  </si>
  <si>
    <t>Sócio 16</t>
  </si>
  <si>
    <t>Sócio 17</t>
  </si>
  <si>
    <t>Sócio 18</t>
  </si>
  <si>
    <t>Sócio 19</t>
  </si>
  <si>
    <t>Sócio 20</t>
  </si>
  <si>
    <t>Sócio 21</t>
  </si>
  <si>
    <t>Sócio 22</t>
  </si>
  <si>
    <t>Sócio 23</t>
  </si>
  <si>
    <t>Sócio 24</t>
  </si>
  <si>
    <t xml:space="preserve"> 244 / 2018</t>
  </si>
  <si>
    <t xml:space="preserve"> 92 / 2020</t>
  </si>
  <si>
    <t xml:space="preserve"> 26 / 2020</t>
  </si>
  <si>
    <t xml:space="preserve"> 325 / 2019</t>
  </si>
  <si>
    <t>12 MESES, A CONTAR DE 30/01/2019</t>
  </si>
  <si>
    <t>-</t>
  </si>
  <si>
    <t>RELAÇÃO DE CONTRATOS - HOSPITAL ESTADUAL AMÉRICO BRASILIENSE - HEAB - EXERCÍCIO 2019 E JANEIRO A JUNHO DE 2020</t>
  </si>
  <si>
    <t>CPF/CNPJ</t>
  </si>
  <si>
    <t>08.303.561/0001-71</t>
  </si>
  <si>
    <t>09.325.263/0001-45</t>
  </si>
  <si>
    <t>07.440.149/0001-30</t>
  </si>
  <si>
    <t>07.440.155/0001-98</t>
  </si>
  <si>
    <t>27.737.776/0001-45</t>
  </si>
  <si>
    <t>26.457.696/0001-73</t>
  </si>
  <si>
    <t>05.598.373/0001-20</t>
  </si>
  <si>
    <t>30.280.358/0001-86</t>
  </si>
  <si>
    <t>06.879.486/0001-66</t>
  </si>
  <si>
    <t>03.102.703/0001-19</t>
  </si>
  <si>
    <t>05.609.791/0001-75</t>
  </si>
  <si>
    <t>05.719.496/0001-71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</si>
</sst>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8"/>
      <color theme="1"/>
      <name val="AriL"/>
    </font>
    <font>
      <b/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43" fontId="0" fillId="0" borderId="0" xfId="1" applyFont="1"/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Border="1" applyAlignment="1">
      <alignment vertical="center" wrapText="1"/>
    </xf>
    <xf numFmtId="17" fontId="2" fillId="0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43" fontId="3" fillId="0" borderId="1" xfId="1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43" fontId="0" fillId="0" borderId="1" xfId="1" applyFont="1" applyFill="1" applyBorder="1"/>
    <xf numFmtId="0" fontId="0" fillId="0" borderId="1" xfId="0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vertical="center" wrapText="1"/>
    </xf>
    <xf numFmtId="43" fontId="5" fillId="0" borderId="1" xfId="1" applyFont="1" applyFill="1" applyBorder="1" applyAlignment="1">
      <alignment vertical="center" wrapText="1"/>
    </xf>
    <xf numFmtId="43" fontId="3" fillId="0" borderId="1" xfId="1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3" fontId="13" fillId="0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3" fontId="8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4"/>
  <sheetViews>
    <sheetView tabSelected="1" zoomScale="90" zoomScaleNormal="90" workbookViewId="0">
      <selection activeCell="G37" sqref="G37"/>
    </sheetView>
  </sheetViews>
  <sheetFormatPr defaultRowHeight="15.75" x14ac:dyDescent="0.25"/>
  <cols>
    <col min="1" max="1" width="12.140625" style="2" customWidth="1"/>
    <col min="2" max="2" width="11.5703125" style="2" customWidth="1"/>
    <col min="3" max="3" width="17.140625" style="2" customWidth="1"/>
    <col min="4" max="4" width="31.28515625" style="2" customWidth="1"/>
    <col min="5" max="5" width="120.7109375" customWidth="1"/>
    <col min="6" max="6" width="12" style="2" customWidth="1"/>
    <col min="7" max="7" width="14.28515625" style="2" customWidth="1"/>
    <col min="8" max="8" width="16.85546875" style="3" bestFit="1" customWidth="1"/>
    <col min="9" max="9" width="14.140625" style="3" customWidth="1"/>
    <col min="10" max="10" width="11.28515625" style="27" customWidth="1"/>
    <col min="11" max="12" width="15.85546875" style="2" customWidth="1"/>
    <col min="13" max="34" width="15.7109375" customWidth="1"/>
    <col min="35" max="58" width="16.28515625" customWidth="1"/>
  </cols>
  <sheetData>
    <row r="1" spans="1:58" x14ac:dyDescent="0.25">
      <c r="A1" s="7"/>
      <c r="B1" s="7"/>
      <c r="C1" s="8"/>
      <c r="D1" s="8"/>
      <c r="E1" s="8"/>
      <c r="F1" s="7"/>
      <c r="G1" s="7"/>
      <c r="K1" s="8"/>
      <c r="L1" s="8"/>
    </row>
    <row r="2" spans="1:58" ht="60" customHeight="1" x14ac:dyDescent="0.25">
      <c r="A2" s="37" t="s">
        <v>424</v>
      </c>
      <c r="B2" s="37"/>
      <c r="C2" s="37"/>
      <c r="D2" s="37"/>
      <c r="E2" s="37"/>
      <c r="F2" s="20"/>
      <c r="G2" s="20"/>
      <c r="J2" s="20"/>
      <c r="K2" s="9"/>
      <c r="L2" s="9"/>
    </row>
    <row r="3" spans="1:58" s="12" customFormat="1" ht="46.5" customHeight="1" x14ac:dyDescent="0.25">
      <c r="A3" s="34" t="s">
        <v>3</v>
      </c>
      <c r="B3" s="34" t="s">
        <v>1</v>
      </c>
      <c r="C3" s="34" t="s">
        <v>89</v>
      </c>
      <c r="D3" s="34" t="s">
        <v>2</v>
      </c>
      <c r="E3" s="34" t="s">
        <v>4</v>
      </c>
      <c r="F3" s="34" t="s">
        <v>169</v>
      </c>
      <c r="G3" s="34" t="s">
        <v>170</v>
      </c>
      <c r="H3" s="35" t="s">
        <v>86</v>
      </c>
      <c r="I3" s="35" t="s">
        <v>171</v>
      </c>
      <c r="J3" s="36" t="s">
        <v>0</v>
      </c>
      <c r="K3" s="34" t="s">
        <v>172</v>
      </c>
      <c r="L3" s="34"/>
      <c r="M3" s="34" t="s">
        <v>173</v>
      </c>
      <c r="N3" s="34"/>
      <c r="O3" s="34" t="s">
        <v>174</v>
      </c>
      <c r="P3" s="34"/>
      <c r="Q3" s="34" t="s">
        <v>175</v>
      </c>
      <c r="R3" s="34"/>
      <c r="S3" s="34" t="s">
        <v>176</v>
      </c>
      <c r="T3" s="34"/>
      <c r="U3" s="34" t="s">
        <v>177</v>
      </c>
      <c r="V3" s="34"/>
      <c r="W3" s="34" t="s">
        <v>178</v>
      </c>
      <c r="X3" s="34"/>
      <c r="Y3" s="34" t="s">
        <v>179</v>
      </c>
      <c r="Z3" s="34"/>
      <c r="AA3" s="34" t="s">
        <v>180</v>
      </c>
      <c r="AB3" s="34"/>
      <c r="AC3" s="34" t="s">
        <v>181</v>
      </c>
      <c r="AD3" s="34"/>
      <c r="AE3" s="34" t="s">
        <v>182</v>
      </c>
      <c r="AF3" s="34"/>
      <c r="AG3" s="34" t="s">
        <v>183</v>
      </c>
      <c r="AH3" s="34"/>
      <c r="AI3" s="34" t="s">
        <v>406</v>
      </c>
      <c r="AJ3" s="34"/>
      <c r="AK3" s="34" t="s">
        <v>407</v>
      </c>
      <c r="AL3" s="34"/>
      <c r="AM3" s="34" t="s">
        <v>408</v>
      </c>
      <c r="AN3" s="34"/>
      <c r="AO3" s="34" t="s">
        <v>409</v>
      </c>
      <c r="AP3" s="34"/>
      <c r="AQ3" s="34" t="s">
        <v>410</v>
      </c>
      <c r="AR3" s="34"/>
      <c r="AS3" s="34" t="s">
        <v>411</v>
      </c>
      <c r="AT3" s="34"/>
      <c r="AU3" s="34" t="s">
        <v>412</v>
      </c>
      <c r="AV3" s="34"/>
      <c r="AW3" s="34" t="s">
        <v>413</v>
      </c>
      <c r="AX3" s="34"/>
      <c r="AY3" s="34" t="s">
        <v>414</v>
      </c>
      <c r="AZ3" s="34"/>
      <c r="BA3" s="34" t="s">
        <v>415</v>
      </c>
      <c r="BB3" s="34"/>
      <c r="BC3" s="34" t="s">
        <v>416</v>
      </c>
      <c r="BD3" s="34"/>
      <c r="BE3" s="34" t="s">
        <v>417</v>
      </c>
      <c r="BF3" s="34"/>
    </row>
    <row r="4" spans="1:58" s="12" customFormat="1" ht="24.75" customHeight="1" x14ac:dyDescent="0.25">
      <c r="A4" s="34"/>
      <c r="B4" s="34"/>
      <c r="C4" s="34"/>
      <c r="D4" s="34"/>
      <c r="E4" s="34"/>
      <c r="F4" s="34"/>
      <c r="G4" s="34"/>
      <c r="H4" s="35"/>
      <c r="I4" s="35"/>
      <c r="J4" s="36"/>
      <c r="K4" s="11" t="s">
        <v>90</v>
      </c>
      <c r="L4" s="11" t="s">
        <v>91</v>
      </c>
      <c r="M4" s="11" t="s">
        <v>425</v>
      </c>
      <c r="N4" s="11" t="s">
        <v>91</v>
      </c>
      <c r="O4" s="11" t="s">
        <v>90</v>
      </c>
      <c r="P4" s="11" t="s">
        <v>91</v>
      </c>
      <c r="Q4" s="28" t="s">
        <v>425</v>
      </c>
      <c r="R4" s="11" t="s">
        <v>91</v>
      </c>
      <c r="S4" s="11" t="s">
        <v>90</v>
      </c>
      <c r="T4" s="11" t="s">
        <v>91</v>
      </c>
      <c r="U4" s="11" t="s">
        <v>90</v>
      </c>
      <c r="V4" s="11" t="s">
        <v>91</v>
      </c>
      <c r="W4" s="11" t="s">
        <v>90</v>
      </c>
      <c r="X4" s="11" t="s">
        <v>91</v>
      </c>
      <c r="Y4" s="11" t="s">
        <v>90</v>
      </c>
      <c r="Z4" s="11" t="s">
        <v>91</v>
      </c>
      <c r="AA4" s="11" t="s">
        <v>90</v>
      </c>
      <c r="AB4" s="11" t="s">
        <v>91</v>
      </c>
      <c r="AC4" s="11" t="s">
        <v>90</v>
      </c>
      <c r="AD4" s="11" t="s">
        <v>91</v>
      </c>
      <c r="AE4" s="11" t="s">
        <v>90</v>
      </c>
      <c r="AF4" s="11" t="s">
        <v>91</v>
      </c>
      <c r="AG4" s="11" t="s">
        <v>90</v>
      </c>
      <c r="AH4" s="11" t="s">
        <v>91</v>
      </c>
      <c r="AI4" s="26" t="s">
        <v>90</v>
      </c>
      <c r="AJ4" s="26" t="s">
        <v>91</v>
      </c>
      <c r="AK4" s="26" t="s">
        <v>90</v>
      </c>
      <c r="AL4" s="26" t="s">
        <v>91</v>
      </c>
      <c r="AM4" s="26" t="s">
        <v>90</v>
      </c>
      <c r="AN4" s="26" t="s">
        <v>91</v>
      </c>
      <c r="AO4" s="26" t="s">
        <v>90</v>
      </c>
      <c r="AP4" s="26" t="s">
        <v>91</v>
      </c>
      <c r="AQ4" s="26" t="s">
        <v>90</v>
      </c>
      <c r="AR4" s="26" t="s">
        <v>91</v>
      </c>
      <c r="AS4" s="26" t="s">
        <v>90</v>
      </c>
      <c r="AT4" s="26" t="s">
        <v>91</v>
      </c>
      <c r="AU4" s="26" t="s">
        <v>90</v>
      </c>
      <c r="AV4" s="26" t="s">
        <v>91</v>
      </c>
      <c r="AW4" s="26" t="s">
        <v>90</v>
      </c>
      <c r="AX4" s="26" t="s">
        <v>91</v>
      </c>
      <c r="AY4" s="26" t="s">
        <v>90</v>
      </c>
      <c r="AZ4" s="26" t="s">
        <v>91</v>
      </c>
      <c r="BA4" s="26" t="s">
        <v>90</v>
      </c>
      <c r="BB4" s="26" t="s">
        <v>91</v>
      </c>
      <c r="BC4" s="26" t="s">
        <v>90</v>
      </c>
      <c r="BD4" s="26" t="s">
        <v>91</v>
      </c>
      <c r="BE4" s="26" t="s">
        <v>90</v>
      </c>
      <c r="BF4" s="26" t="s">
        <v>90</v>
      </c>
    </row>
    <row r="5" spans="1:58" s="1" customFormat="1" ht="61.5" customHeight="1" x14ac:dyDescent="0.25">
      <c r="A5" s="22">
        <v>43551</v>
      </c>
      <c r="B5" s="21" t="s">
        <v>18</v>
      </c>
      <c r="C5" s="16" t="s">
        <v>92</v>
      </c>
      <c r="D5" s="16" t="s">
        <v>19</v>
      </c>
      <c r="E5" s="16" t="s">
        <v>20</v>
      </c>
      <c r="F5" s="21" t="s">
        <v>21</v>
      </c>
      <c r="G5" s="5" t="s">
        <v>210</v>
      </c>
      <c r="H5" s="23">
        <f>26510+27715+25305+26510+26510+25305+27715</f>
        <v>185570</v>
      </c>
      <c r="I5" s="13">
        <f>25305+26510+27715+24100+26510</f>
        <v>130140</v>
      </c>
      <c r="J5" s="5" t="s">
        <v>88</v>
      </c>
      <c r="K5" s="16" t="s">
        <v>93</v>
      </c>
      <c r="L5" s="16" t="s">
        <v>94</v>
      </c>
      <c r="M5" s="16" t="s">
        <v>95</v>
      </c>
      <c r="N5" s="16" t="s">
        <v>96</v>
      </c>
      <c r="O5" s="19" t="s">
        <v>423</v>
      </c>
      <c r="P5" s="19" t="s">
        <v>423</v>
      </c>
      <c r="Q5" s="19" t="s">
        <v>423</v>
      </c>
      <c r="R5" s="19" t="s">
        <v>423</v>
      </c>
      <c r="S5" s="19" t="s">
        <v>423</v>
      </c>
      <c r="T5" s="19" t="s">
        <v>423</v>
      </c>
      <c r="U5" s="19" t="s">
        <v>423</v>
      </c>
      <c r="V5" s="19" t="s">
        <v>423</v>
      </c>
      <c r="W5" s="19" t="s">
        <v>423</v>
      </c>
      <c r="X5" s="19" t="s">
        <v>423</v>
      </c>
      <c r="Y5" s="19" t="s">
        <v>423</v>
      </c>
      <c r="Z5" s="19" t="s">
        <v>423</v>
      </c>
      <c r="AA5" s="19" t="s">
        <v>423</v>
      </c>
      <c r="AB5" s="19" t="s">
        <v>423</v>
      </c>
      <c r="AC5" s="19" t="s">
        <v>423</v>
      </c>
      <c r="AD5" s="19" t="s">
        <v>423</v>
      </c>
      <c r="AE5" s="19" t="s">
        <v>423</v>
      </c>
      <c r="AF5" s="19" t="s">
        <v>423</v>
      </c>
      <c r="AG5" s="19" t="s">
        <v>423</v>
      </c>
      <c r="AH5" s="19" t="s">
        <v>423</v>
      </c>
      <c r="AI5" s="19" t="s">
        <v>423</v>
      </c>
      <c r="AJ5" s="19" t="s">
        <v>423</v>
      </c>
      <c r="AK5" s="19" t="s">
        <v>423</v>
      </c>
      <c r="AL5" s="19" t="s">
        <v>423</v>
      </c>
      <c r="AM5" s="19" t="s">
        <v>423</v>
      </c>
      <c r="AN5" s="19" t="s">
        <v>423</v>
      </c>
      <c r="AO5" s="19" t="s">
        <v>423</v>
      </c>
      <c r="AP5" s="19" t="s">
        <v>423</v>
      </c>
      <c r="AQ5" s="19" t="s">
        <v>423</v>
      </c>
      <c r="AR5" s="19" t="s">
        <v>423</v>
      </c>
      <c r="AS5" s="19" t="s">
        <v>423</v>
      </c>
      <c r="AT5" s="19" t="s">
        <v>423</v>
      </c>
      <c r="AU5" s="19" t="s">
        <v>423</v>
      </c>
      <c r="AV5" s="19" t="s">
        <v>423</v>
      </c>
      <c r="AW5" s="19" t="s">
        <v>423</v>
      </c>
      <c r="AX5" s="19" t="s">
        <v>423</v>
      </c>
      <c r="AY5" s="19" t="s">
        <v>423</v>
      </c>
      <c r="AZ5" s="19" t="s">
        <v>423</v>
      </c>
      <c r="BA5" s="19" t="s">
        <v>423</v>
      </c>
      <c r="BB5" s="19" t="s">
        <v>423</v>
      </c>
      <c r="BC5" s="19" t="s">
        <v>423</v>
      </c>
      <c r="BD5" s="19" t="s">
        <v>423</v>
      </c>
      <c r="BE5" s="19" t="s">
        <v>423</v>
      </c>
      <c r="BF5" s="19" t="s">
        <v>423</v>
      </c>
    </row>
    <row r="6" spans="1:58" s="1" customFormat="1" ht="40.5" customHeight="1" x14ac:dyDescent="0.25">
      <c r="A6" s="22">
        <v>43578</v>
      </c>
      <c r="B6" s="21" t="s">
        <v>22</v>
      </c>
      <c r="C6" s="16" t="s">
        <v>97</v>
      </c>
      <c r="D6" s="16" t="s">
        <v>23</v>
      </c>
      <c r="E6" s="16" t="s">
        <v>24</v>
      </c>
      <c r="F6" s="21" t="s">
        <v>25</v>
      </c>
      <c r="G6" s="5" t="s">
        <v>423</v>
      </c>
      <c r="H6" s="23">
        <f>3999+3999+1999.5+1999.5+1999.5+1999.5</f>
        <v>15996</v>
      </c>
      <c r="I6" s="13">
        <v>0</v>
      </c>
      <c r="J6" s="5" t="s">
        <v>88</v>
      </c>
      <c r="K6" s="16" t="s">
        <v>98</v>
      </c>
      <c r="L6" s="16" t="s">
        <v>99</v>
      </c>
      <c r="M6" s="16" t="s">
        <v>100</v>
      </c>
      <c r="N6" s="16" t="s">
        <v>101</v>
      </c>
      <c r="O6" s="16" t="s">
        <v>102</v>
      </c>
      <c r="P6" s="16" t="s">
        <v>103</v>
      </c>
      <c r="Q6" s="16" t="s">
        <v>104</v>
      </c>
      <c r="R6" s="16" t="s">
        <v>105</v>
      </c>
      <c r="S6" s="19" t="s">
        <v>423</v>
      </c>
      <c r="T6" s="19" t="s">
        <v>423</v>
      </c>
      <c r="U6" s="19" t="s">
        <v>423</v>
      </c>
      <c r="V6" s="19" t="s">
        <v>423</v>
      </c>
      <c r="W6" s="19" t="s">
        <v>423</v>
      </c>
      <c r="X6" s="19" t="s">
        <v>423</v>
      </c>
      <c r="Y6" s="19" t="s">
        <v>423</v>
      </c>
      <c r="Z6" s="19" t="s">
        <v>423</v>
      </c>
      <c r="AA6" s="19" t="s">
        <v>423</v>
      </c>
      <c r="AB6" s="19" t="s">
        <v>423</v>
      </c>
      <c r="AC6" s="19" t="s">
        <v>423</v>
      </c>
      <c r="AD6" s="19" t="s">
        <v>423</v>
      </c>
      <c r="AE6" s="19" t="s">
        <v>423</v>
      </c>
      <c r="AF6" s="19" t="s">
        <v>423</v>
      </c>
      <c r="AG6" s="19" t="s">
        <v>423</v>
      </c>
      <c r="AH6" s="19" t="s">
        <v>423</v>
      </c>
      <c r="AI6" s="19" t="s">
        <v>423</v>
      </c>
      <c r="AJ6" s="19" t="s">
        <v>423</v>
      </c>
      <c r="AK6" s="19" t="s">
        <v>423</v>
      </c>
      <c r="AL6" s="19" t="s">
        <v>423</v>
      </c>
      <c r="AM6" s="19" t="s">
        <v>423</v>
      </c>
      <c r="AN6" s="19" t="s">
        <v>423</v>
      </c>
      <c r="AO6" s="19" t="s">
        <v>423</v>
      </c>
      <c r="AP6" s="19" t="s">
        <v>423</v>
      </c>
      <c r="AQ6" s="19" t="s">
        <v>423</v>
      </c>
      <c r="AR6" s="19" t="s">
        <v>423</v>
      </c>
      <c r="AS6" s="19" t="s">
        <v>423</v>
      </c>
      <c r="AT6" s="19" t="s">
        <v>423</v>
      </c>
      <c r="AU6" s="19" t="s">
        <v>423</v>
      </c>
      <c r="AV6" s="19" t="s">
        <v>423</v>
      </c>
      <c r="AW6" s="19" t="s">
        <v>423</v>
      </c>
      <c r="AX6" s="19" t="s">
        <v>423</v>
      </c>
      <c r="AY6" s="19" t="s">
        <v>423</v>
      </c>
      <c r="AZ6" s="19" t="s">
        <v>423</v>
      </c>
      <c r="BA6" s="19" t="s">
        <v>423</v>
      </c>
      <c r="BB6" s="19" t="s">
        <v>423</v>
      </c>
      <c r="BC6" s="19" t="s">
        <v>423</v>
      </c>
      <c r="BD6" s="19" t="s">
        <v>423</v>
      </c>
      <c r="BE6" s="19" t="s">
        <v>423</v>
      </c>
      <c r="BF6" s="19" t="s">
        <v>423</v>
      </c>
    </row>
    <row r="7" spans="1:58" s="1" customFormat="1" ht="37.5" customHeight="1" x14ac:dyDescent="0.25">
      <c r="A7" s="22">
        <v>43606</v>
      </c>
      <c r="B7" s="21" t="s">
        <v>26</v>
      </c>
      <c r="C7" s="16" t="s">
        <v>106</v>
      </c>
      <c r="D7" s="16" t="s">
        <v>27</v>
      </c>
      <c r="E7" s="16" t="s">
        <v>28</v>
      </c>
      <c r="F7" s="21" t="s">
        <v>29</v>
      </c>
      <c r="G7" s="5" t="s">
        <v>211</v>
      </c>
      <c r="H7" s="23">
        <f>29999.92+10499.97+19874.89+14519.88+8893.43+4537.53+10164.14+7256.47</f>
        <v>105746.23</v>
      </c>
      <c r="I7" s="13">
        <f>9210.99+25027.31+17838.89+15785.84+16061.25+7537.52</f>
        <v>91461.8</v>
      </c>
      <c r="J7" s="5" t="s">
        <v>87</v>
      </c>
      <c r="K7" s="15" t="s">
        <v>241</v>
      </c>
      <c r="L7" s="15" t="s">
        <v>242</v>
      </c>
      <c r="M7" s="15" t="s">
        <v>243</v>
      </c>
      <c r="N7" s="15" t="s">
        <v>244</v>
      </c>
      <c r="O7" s="15" t="s">
        <v>245</v>
      </c>
      <c r="P7" s="15" t="s">
        <v>246</v>
      </c>
      <c r="Q7" s="15" t="s">
        <v>247</v>
      </c>
      <c r="R7" s="15" t="s">
        <v>248</v>
      </c>
      <c r="S7" s="15" t="s">
        <v>249</v>
      </c>
      <c r="T7" s="15" t="s">
        <v>250</v>
      </c>
      <c r="U7" s="15" t="s">
        <v>251</v>
      </c>
      <c r="V7" s="15" t="s">
        <v>252</v>
      </c>
      <c r="W7" s="15" t="s">
        <v>253</v>
      </c>
      <c r="X7" s="15" t="s">
        <v>254</v>
      </c>
      <c r="Y7" s="15" t="s">
        <v>255</v>
      </c>
      <c r="Z7" s="15" t="s">
        <v>256</v>
      </c>
      <c r="AA7" s="15" t="s">
        <v>257</v>
      </c>
      <c r="AB7" s="15" t="s">
        <v>258</v>
      </c>
      <c r="AC7" s="15" t="s">
        <v>259</v>
      </c>
      <c r="AD7" s="15" t="s">
        <v>260</v>
      </c>
      <c r="AE7" s="15" t="s">
        <v>261</v>
      </c>
      <c r="AF7" s="15" t="s">
        <v>262</v>
      </c>
      <c r="AG7" s="19" t="s">
        <v>423</v>
      </c>
      <c r="AH7" s="19" t="s">
        <v>423</v>
      </c>
      <c r="AI7" s="19" t="s">
        <v>423</v>
      </c>
      <c r="AJ7" s="19" t="s">
        <v>423</v>
      </c>
      <c r="AK7" s="19" t="s">
        <v>423</v>
      </c>
      <c r="AL7" s="19" t="s">
        <v>423</v>
      </c>
      <c r="AM7" s="19" t="s">
        <v>423</v>
      </c>
      <c r="AN7" s="19" t="s">
        <v>423</v>
      </c>
      <c r="AO7" s="19" t="s">
        <v>423</v>
      </c>
      <c r="AP7" s="19" t="s">
        <v>423</v>
      </c>
      <c r="AQ7" s="19" t="s">
        <v>423</v>
      </c>
      <c r="AR7" s="19" t="s">
        <v>423</v>
      </c>
      <c r="AS7" s="19" t="s">
        <v>423</v>
      </c>
      <c r="AT7" s="19" t="s">
        <v>423</v>
      </c>
      <c r="AU7" s="19" t="s">
        <v>423</v>
      </c>
      <c r="AV7" s="19" t="s">
        <v>423</v>
      </c>
      <c r="AW7" s="19" t="s">
        <v>423</v>
      </c>
      <c r="AX7" s="19" t="s">
        <v>423</v>
      </c>
      <c r="AY7" s="19" t="s">
        <v>423</v>
      </c>
      <c r="AZ7" s="19" t="s">
        <v>423</v>
      </c>
      <c r="BA7" s="19" t="s">
        <v>423</v>
      </c>
      <c r="BB7" s="19" t="s">
        <v>423</v>
      </c>
      <c r="BC7" s="19" t="s">
        <v>423</v>
      </c>
      <c r="BD7" s="19" t="s">
        <v>423</v>
      </c>
      <c r="BE7" s="19" t="s">
        <v>423</v>
      </c>
      <c r="BF7" s="19" t="s">
        <v>423</v>
      </c>
    </row>
    <row r="8" spans="1:58" s="1" customFormat="1" ht="50.25" customHeight="1" x14ac:dyDescent="0.25">
      <c r="A8" s="22">
        <v>43628</v>
      </c>
      <c r="B8" s="21" t="s">
        <v>30</v>
      </c>
      <c r="C8" s="16" t="s">
        <v>107</v>
      </c>
      <c r="D8" s="16" t="s">
        <v>31</v>
      </c>
      <c r="E8" s="16" t="s">
        <v>32</v>
      </c>
      <c r="F8" s="21" t="s">
        <v>33</v>
      </c>
      <c r="G8" s="5" t="s">
        <v>212</v>
      </c>
      <c r="H8" s="23">
        <f>50959.45+60010.76+52201.7+54871.85</f>
        <v>218043.75999999998</v>
      </c>
      <c r="I8" s="13">
        <f>50459.57+43035.04+49969.82+46669.25+47056.72+34937.57</f>
        <v>272127.96999999997</v>
      </c>
      <c r="J8" s="5" t="s">
        <v>87</v>
      </c>
      <c r="K8" s="16" t="s">
        <v>108</v>
      </c>
      <c r="L8" s="16" t="s">
        <v>110</v>
      </c>
      <c r="M8" s="16" t="s">
        <v>109</v>
      </c>
      <c r="N8" s="16" t="s">
        <v>111</v>
      </c>
      <c r="O8" s="19" t="s">
        <v>423</v>
      </c>
      <c r="P8" s="19" t="s">
        <v>423</v>
      </c>
      <c r="Q8" s="19" t="s">
        <v>423</v>
      </c>
      <c r="R8" s="19" t="s">
        <v>423</v>
      </c>
      <c r="S8" s="19" t="s">
        <v>423</v>
      </c>
      <c r="T8" s="19" t="s">
        <v>423</v>
      </c>
      <c r="U8" s="19" t="s">
        <v>423</v>
      </c>
      <c r="V8" s="19" t="s">
        <v>423</v>
      </c>
      <c r="W8" s="19" t="s">
        <v>423</v>
      </c>
      <c r="X8" s="19" t="s">
        <v>423</v>
      </c>
      <c r="Y8" s="19" t="s">
        <v>423</v>
      </c>
      <c r="Z8" s="19" t="s">
        <v>423</v>
      </c>
      <c r="AA8" s="19" t="s">
        <v>423</v>
      </c>
      <c r="AB8" s="19" t="s">
        <v>423</v>
      </c>
      <c r="AC8" s="19" t="s">
        <v>423</v>
      </c>
      <c r="AD8" s="19" t="s">
        <v>423</v>
      </c>
      <c r="AE8" s="19" t="s">
        <v>423</v>
      </c>
      <c r="AF8" s="19" t="s">
        <v>423</v>
      </c>
      <c r="AG8" s="19" t="s">
        <v>423</v>
      </c>
      <c r="AH8" s="19" t="s">
        <v>423</v>
      </c>
      <c r="AI8" s="19" t="s">
        <v>423</v>
      </c>
      <c r="AJ8" s="19" t="s">
        <v>423</v>
      </c>
      <c r="AK8" s="19" t="s">
        <v>423</v>
      </c>
      <c r="AL8" s="19" t="s">
        <v>423</v>
      </c>
      <c r="AM8" s="19" t="s">
        <v>423</v>
      </c>
      <c r="AN8" s="19" t="s">
        <v>423</v>
      </c>
      <c r="AO8" s="19" t="s">
        <v>423</v>
      </c>
      <c r="AP8" s="19" t="s">
        <v>423</v>
      </c>
      <c r="AQ8" s="19" t="s">
        <v>423</v>
      </c>
      <c r="AR8" s="19" t="s">
        <v>423</v>
      </c>
      <c r="AS8" s="19" t="s">
        <v>423</v>
      </c>
      <c r="AT8" s="19" t="s">
        <v>423</v>
      </c>
      <c r="AU8" s="19" t="s">
        <v>423</v>
      </c>
      <c r="AV8" s="19" t="s">
        <v>423</v>
      </c>
      <c r="AW8" s="19" t="s">
        <v>423</v>
      </c>
      <c r="AX8" s="19" t="s">
        <v>423</v>
      </c>
      <c r="AY8" s="19" t="s">
        <v>423</v>
      </c>
      <c r="AZ8" s="19" t="s">
        <v>423</v>
      </c>
      <c r="BA8" s="19" t="s">
        <v>423</v>
      </c>
      <c r="BB8" s="19" t="s">
        <v>423</v>
      </c>
      <c r="BC8" s="19" t="s">
        <v>423</v>
      </c>
      <c r="BD8" s="19" t="s">
        <v>423</v>
      </c>
      <c r="BE8" s="19" t="s">
        <v>423</v>
      </c>
      <c r="BF8" s="19" t="s">
        <v>423</v>
      </c>
    </row>
    <row r="9" spans="1:58" s="1" customFormat="1" ht="40.5" customHeight="1" x14ac:dyDescent="0.25">
      <c r="A9" s="22">
        <v>43675</v>
      </c>
      <c r="B9" s="21" t="s">
        <v>34</v>
      </c>
      <c r="C9" s="16" t="s">
        <v>112</v>
      </c>
      <c r="D9" s="16" t="s">
        <v>7</v>
      </c>
      <c r="E9" s="16" t="s">
        <v>35</v>
      </c>
      <c r="F9" s="21" t="s">
        <v>36</v>
      </c>
      <c r="G9" s="5" t="s">
        <v>213</v>
      </c>
      <c r="H9" s="23">
        <f>2767.2+4033.6+1768+6819.2+3452.4+4404.45+551.25+1535.25+2451.5+3652.85+3653.65+183.75+2163.6+3309.6+1017.6</f>
        <v>41763.899999999994</v>
      </c>
      <c r="I9" s="13">
        <f>10692.05+4964.4+10313.75+12446.45+8304.45+7164+2884.8</f>
        <v>56769.899999999994</v>
      </c>
      <c r="J9" s="5" t="s">
        <v>87</v>
      </c>
      <c r="K9" s="16" t="s">
        <v>113</v>
      </c>
      <c r="L9" s="16" t="s">
        <v>114</v>
      </c>
      <c r="M9" s="19" t="s">
        <v>423</v>
      </c>
      <c r="N9" s="19" t="s">
        <v>423</v>
      </c>
      <c r="O9" s="19" t="s">
        <v>423</v>
      </c>
      <c r="P9" s="19" t="s">
        <v>423</v>
      </c>
      <c r="Q9" s="19" t="s">
        <v>423</v>
      </c>
      <c r="R9" s="19" t="s">
        <v>423</v>
      </c>
      <c r="S9" s="19" t="s">
        <v>423</v>
      </c>
      <c r="T9" s="19" t="s">
        <v>423</v>
      </c>
      <c r="U9" s="19" t="s">
        <v>423</v>
      </c>
      <c r="V9" s="19" t="s">
        <v>423</v>
      </c>
      <c r="W9" s="19" t="s">
        <v>423</v>
      </c>
      <c r="X9" s="19" t="s">
        <v>423</v>
      </c>
      <c r="Y9" s="19" t="s">
        <v>423</v>
      </c>
      <c r="Z9" s="19" t="s">
        <v>423</v>
      </c>
      <c r="AA9" s="19" t="s">
        <v>423</v>
      </c>
      <c r="AB9" s="19" t="s">
        <v>423</v>
      </c>
      <c r="AC9" s="19" t="s">
        <v>423</v>
      </c>
      <c r="AD9" s="19" t="s">
        <v>423</v>
      </c>
      <c r="AE9" s="19" t="s">
        <v>423</v>
      </c>
      <c r="AF9" s="19" t="s">
        <v>423</v>
      </c>
      <c r="AG9" s="19" t="s">
        <v>423</v>
      </c>
      <c r="AH9" s="19" t="s">
        <v>423</v>
      </c>
      <c r="AI9" s="19" t="s">
        <v>423</v>
      </c>
      <c r="AJ9" s="19" t="s">
        <v>423</v>
      </c>
      <c r="AK9" s="19" t="s">
        <v>423</v>
      </c>
      <c r="AL9" s="19" t="s">
        <v>423</v>
      </c>
      <c r="AM9" s="19" t="s">
        <v>423</v>
      </c>
      <c r="AN9" s="19" t="s">
        <v>423</v>
      </c>
      <c r="AO9" s="19" t="s">
        <v>423</v>
      </c>
      <c r="AP9" s="19" t="s">
        <v>423</v>
      </c>
      <c r="AQ9" s="19" t="s">
        <v>423</v>
      </c>
      <c r="AR9" s="19" t="s">
        <v>423</v>
      </c>
      <c r="AS9" s="19" t="s">
        <v>423</v>
      </c>
      <c r="AT9" s="19" t="s">
        <v>423</v>
      </c>
      <c r="AU9" s="19" t="s">
        <v>423</v>
      </c>
      <c r="AV9" s="19" t="s">
        <v>423</v>
      </c>
      <c r="AW9" s="19" t="s">
        <v>423</v>
      </c>
      <c r="AX9" s="19" t="s">
        <v>423</v>
      </c>
      <c r="AY9" s="19" t="s">
        <v>423</v>
      </c>
      <c r="AZ9" s="19" t="s">
        <v>423</v>
      </c>
      <c r="BA9" s="19" t="s">
        <v>423</v>
      </c>
      <c r="BB9" s="19" t="s">
        <v>423</v>
      </c>
      <c r="BC9" s="19" t="s">
        <v>423</v>
      </c>
      <c r="BD9" s="19" t="s">
        <v>423</v>
      </c>
      <c r="BE9" s="19" t="s">
        <v>423</v>
      </c>
      <c r="BF9" s="19" t="s">
        <v>423</v>
      </c>
    </row>
    <row r="10" spans="1:58" s="1" customFormat="1" ht="47.25" customHeight="1" x14ac:dyDescent="0.25">
      <c r="A10" s="22">
        <v>43697</v>
      </c>
      <c r="B10" s="21" t="s">
        <v>37</v>
      </c>
      <c r="C10" s="16" t="s">
        <v>115</v>
      </c>
      <c r="D10" s="16" t="s">
        <v>38</v>
      </c>
      <c r="E10" s="16" t="s">
        <v>39</v>
      </c>
      <c r="F10" s="21" t="s">
        <v>40</v>
      </c>
      <c r="G10" s="5" t="s">
        <v>214</v>
      </c>
      <c r="H10" s="23">
        <f>5670+6930+5481+6699</f>
        <v>24780</v>
      </c>
      <c r="I10" s="13">
        <f>10950+10500+11588+10470+11120+11040+10990</f>
        <v>76658</v>
      </c>
      <c r="J10" s="5" t="s">
        <v>87</v>
      </c>
      <c r="K10" s="4" t="s">
        <v>263</v>
      </c>
      <c r="L10" s="4" t="s">
        <v>264</v>
      </c>
      <c r="M10" s="4" t="s">
        <v>426</v>
      </c>
      <c r="N10" s="29" t="s">
        <v>265</v>
      </c>
      <c r="O10" s="4" t="s">
        <v>266</v>
      </c>
      <c r="P10" s="4" t="s">
        <v>267</v>
      </c>
      <c r="Q10" s="4" t="s">
        <v>427</v>
      </c>
      <c r="R10" s="29" t="s">
        <v>268</v>
      </c>
      <c r="S10" s="4" t="s">
        <v>269</v>
      </c>
      <c r="T10" s="4" t="s">
        <v>270</v>
      </c>
      <c r="U10" s="19" t="s">
        <v>423</v>
      </c>
      <c r="V10" s="19" t="s">
        <v>423</v>
      </c>
      <c r="W10" s="19" t="s">
        <v>423</v>
      </c>
      <c r="X10" s="19" t="s">
        <v>423</v>
      </c>
      <c r="Y10" s="19" t="s">
        <v>423</v>
      </c>
      <c r="Z10" s="19" t="s">
        <v>423</v>
      </c>
      <c r="AA10" s="19" t="s">
        <v>423</v>
      </c>
      <c r="AB10" s="19" t="s">
        <v>423</v>
      </c>
      <c r="AC10" s="19" t="s">
        <v>423</v>
      </c>
      <c r="AD10" s="19" t="s">
        <v>423</v>
      </c>
      <c r="AE10" s="19" t="s">
        <v>423</v>
      </c>
      <c r="AF10" s="19" t="s">
        <v>423</v>
      </c>
      <c r="AG10" s="19" t="s">
        <v>423</v>
      </c>
      <c r="AH10" s="19" t="s">
        <v>423</v>
      </c>
      <c r="AI10" s="19" t="s">
        <v>423</v>
      </c>
      <c r="AJ10" s="19" t="s">
        <v>423</v>
      </c>
      <c r="AK10" s="19" t="s">
        <v>423</v>
      </c>
      <c r="AL10" s="19" t="s">
        <v>423</v>
      </c>
      <c r="AM10" s="19" t="s">
        <v>423</v>
      </c>
      <c r="AN10" s="19" t="s">
        <v>423</v>
      </c>
      <c r="AO10" s="19" t="s">
        <v>423</v>
      </c>
      <c r="AP10" s="19" t="s">
        <v>423</v>
      </c>
      <c r="AQ10" s="19" t="s">
        <v>423</v>
      </c>
      <c r="AR10" s="19" t="s">
        <v>423</v>
      </c>
      <c r="AS10" s="19" t="s">
        <v>423</v>
      </c>
      <c r="AT10" s="19" t="s">
        <v>423</v>
      </c>
      <c r="AU10" s="19" t="s">
        <v>423</v>
      </c>
      <c r="AV10" s="19" t="s">
        <v>423</v>
      </c>
      <c r="AW10" s="19" t="s">
        <v>423</v>
      </c>
      <c r="AX10" s="19" t="s">
        <v>423</v>
      </c>
      <c r="AY10" s="19" t="s">
        <v>423</v>
      </c>
      <c r="AZ10" s="19" t="s">
        <v>423</v>
      </c>
      <c r="BA10" s="19" t="s">
        <v>423</v>
      </c>
      <c r="BB10" s="19" t="s">
        <v>423</v>
      </c>
      <c r="BC10" s="19" t="s">
        <v>423</v>
      </c>
      <c r="BD10" s="19" t="s">
        <v>423</v>
      </c>
      <c r="BE10" s="19" t="s">
        <v>423</v>
      </c>
      <c r="BF10" s="19" t="s">
        <v>423</v>
      </c>
    </row>
    <row r="11" spans="1:58" s="1" customFormat="1" ht="43.5" customHeight="1" x14ac:dyDescent="0.25">
      <c r="A11" s="22">
        <v>43710</v>
      </c>
      <c r="B11" s="21" t="s">
        <v>41</v>
      </c>
      <c r="C11" s="16" t="s">
        <v>116</v>
      </c>
      <c r="D11" s="16" t="s">
        <v>42</v>
      </c>
      <c r="E11" s="16" t="s">
        <v>43</v>
      </c>
      <c r="F11" s="21" t="s">
        <v>44</v>
      </c>
      <c r="G11" s="5" t="s">
        <v>240</v>
      </c>
      <c r="H11" s="23">
        <f>5200</f>
        <v>5200</v>
      </c>
      <c r="I11" s="13">
        <f>13400+5200+5200+8450+12370</f>
        <v>44620</v>
      </c>
      <c r="J11" s="5" t="s">
        <v>87</v>
      </c>
      <c r="K11" s="16" t="s">
        <v>117</v>
      </c>
      <c r="L11" s="16" t="s">
        <v>118</v>
      </c>
      <c r="M11" s="19" t="s">
        <v>423</v>
      </c>
      <c r="N11" s="19" t="s">
        <v>423</v>
      </c>
      <c r="O11" s="19" t="s">
        <v>423</v>
      </c>
      <c r="P11" s="19" t="s">
        <v>423</v>
      </c>
      <c r="Q11" s="19" t="s">
        <v>423</v>
      </c>
      <c r="R11" s="19" t="s">
        <v>423</v>
      </c>
      <c r="S11" s="19" t="s">
        <v>423</v>
      </c>
      <c r="T11" s="19" t="s">
        <v>423</v>
      </c>
      <c r="U11" s="19" t="s">
        <v>423</v>
      </c>
      <c r="V11" s="19" t="s">
        <v>423</v>
      </c>
      <c r="W11" s="19" t="s">
        <v>423</v>
      </c>
      <c r="X11" s="19" t="s">
        <v>423</v>
      </c>
      <c r="Y11" s="19" t="s">
        <v>423</v>
      </c>
      <c r="Z11" s="19" t="s">
        <v>423</v>
      </c>
      <c r="AA11" s="19" t="s">
        <v>423</v>
      </c>
      <c r="AB11" s="19" t="s">
        <v>423</v>
      </c>
      <c r="AC11" s="19" t="s">
        <v>423</v>
      </c>
      <c r="AD11" s="19" t="s">
        <v>423</v>
      </c>
      <c r="AE11" s="19" t="s">
        <v>423</v>
      </c>
      <c r="AF11" s="19" t="s">
        <v>423</v>
      </c>
      <c r="AG11" s="19" t="s">
        <v>423</v>
      </c>
      <c r="AH11" s="19" t="s">
        <v>423</v>
      </c>
      <c r="AI11" s="19" t="s">
        <v>423</v>
      </c>
      <c r="AJ11" s="19" t="s">
        <v>423</v>
      </c>
      <c r="AK11" s="19" t="s">
        <v>423</v>
      </c>
      <c r="AL11" s="19" t="s">
        <v>423</v>
      </c>
      <c r="AM11" s="19" t="s">
        <v>423</v>
      </c>
      <c r="AN11" s="19" t="s">
        <v>423</v>
      </c>
      <c r="AO11" s="19" t="s">
        <v>423</v>
      </c>
      <c r="AP11" s="19" t="s">
        <v>423</v>
      </c>
      <c r="AQ11" s="19" t="s">
        <v>423</v>
      </c>
      <c r="AR11" s="19" t="s">
        <v>423</v>
      </c>
      <c r="AS11" s="19" t="s">
        <v>423</v>
      </c>
      <c r="AT11" s="19" t="s">
        <v>423</v>
      </c>
      <c r="AU11" s="19" t="s">
        <v>423</v>
      </c>
      <c r="AV11" s="19" t="s">
        <v>423</v>
      </c>
      <c r="AW11" s="19" t="s">
        <v>423</v>
      </c>
      <c r="AX11" s="19" t="s">
        <v>423</v>
      </c>
      <c r="AY11" s="19" t="s">
        <v>423</v>
      </c>
      <c r="AZ11" s="19" t="s">
        <v>423</v>
      </c>
      <c r="BA11" s="19" t="s">
        <v>423</v>
      </c>
      <c r="BB11" s="19" t="s">
        <v>423</v>
      </c>
      <c r="BC11" s="19" t="s">
        <v>423</v>
      </c>
      <c r="BD11" s="19" t="s">
        <v>423</v>
      </c>
      <c r="BE11" s="19" t="s">
        <v>423</v>
      </c>
      <c r="BF11" s="19" t="s">
        <v>423</v>
      </c>
    </row>
    <row r="12" spans="1:58" s="1" customFormat="1" ht="41.25" customHeight="1" x14ac:dyDescent="0.25">
      <c r="A12" s="22">
        <v>43739</v>
      </c>
      <c r="B12" s="21" t="s">
        <v>45</v>
      </c>
      <c r="C12" s="16" t="s">
        <v>119</v>
      </c>
      <c r="D12" s="16" t="s">
        <v>46</v>
      </c>
      <c r="E12" s="16" t="s">
        <v>47</v>
      </c>
      <c r="F12" s="21" t="s">
        <v>48</v>
      </c>
      <c r="G12" s="5" t="s">
        <v>215</v>
      </c>
      <c r="H12" s="23">
        <f>2982+859.2</f>
        <v>3841.2</v>
      </c>
      <c r="I12" s="13">
        <f>5971.2+2556+2556+3415.2+2556</f>
        <v>17054.400000000001</v>
      </c>
      <c r="J12" s="5" t="s">
        <v>87</v>
      </c>
      <c r="K12" s="15" t="s">
        <v>271</v>
      </c>
      <c r="L12" s="15" t="s">
        <v>272</v>
      </c>
      <c r="M12" s="15" t="s">
        <v>273</v>
      </c>
      <c r="N12" s="15" t="s">
        <v>274</v>
      </c>
      <c r="O12" s="15" t="s">
        <v>275</v>
      </c>
      <c r="P12" s="15" t="s">
        <v>276</v>
      </c>
      <c r="Q12" s="15" t="s">
        <v>428</v>
      </c>
      <c r="R12" s="30" t="s">
        <v>277</v>
      </c>
      <c r="S12" s="15" t="s">
        <v>278</v>
      </c>
      <c r="T12" s="15" t="s">
        <v>279</v>
      </c>
      <c r="U12" s="15" t="s">
        <v>280</v>
      </c>
      <c r="V12" s="15" t="s">
        <v>281</v>
      </c>
      <c r="W12" s="15" t="s">
        <v>429</v>
      </c>
      <c r="X12" s="30" t="s">
        <v>282</v>
      </c>
      <c r="Y12" s="15" t="s">
        <v>283</v>
      </c>
      <c r="Z12" s="15" t="s">
        <v>284</v>
      </c>
      <c r="AA12" s="15" t="s">
        <v>285</v>
      </c>
      <c r="AB12" s="15" t="s">
        <v>286</v>
      </c>
      <c r="AC12" s="15" t="s">
        <v>287</v>
      </c>
      <c r="AD12" s="15" t="s">
        <v>288</v>
      </c>
      <c r="AE12" s="15" t="s">
        <v>289</v>
      </c>
      <c r="AF12" s="15" t="s">
        <v>290</v>
      </c>
      <c r="AG12" s="15" t="s">
        <v>291</v>
      </c>
      <c r="AH12" s="15" t="s">
        <v>292</v>
      </c>
      <c r="AI12" s="19" t="s">
        <v>423</v>
      </c>
      <c r="AJ12" s="19" t="s">
        <v>423</v>
      </c>
      <c r="AK12" s="19" t="s">
        <v>423</v>
      </c>
      <c r="AL12" s="19" t="s">
        <v>423</v>
      </c>
      <c r="AM12" s="19" t="s">
        <v>423</v>
      </c>
      <c r="AN12" s="19" t="s">
        <v>423</v>
      </c>
      <c r="AO12" s="19" t="s">
        <v>423</v>
      </c>
      <c r="AP12" s="19" t="s">
        <v>423</v>
      </c>
      <c r="AQ12" s="19" t="s">
        <v>423</v>
      </c>
      <c r="AR12" s="19" t="s">
        <v>423</v>
      </c>
      <c r="AS12" s="19" t="s">
        <v>423</v>
      </c>
      <c r="AT12" s="19" t="s">
        <v>423</v>
      </c>
      <c r="AU12" s="19" t="s">
        <v>423</v>
      </c>
      <c r="AV12" s="19" t="s">
        <v>423</v>
      </c>
      <c r="AW12" s="19" t="s">
        <v>423</v>
      </c>
      <c r="AX12" s="19" t="s">
        <v>423</v>
      </c>
      <c r="AY12" s="19" t="s">
        <v>423</v>
      </c>
      <c r="AZ12" s="19" t="s">
        <v>423</v>
      </c>
      <c r="BA12" s="19" t="s">
        <v>423</v>
      </c>
      <c r="BB12" s="19" t="s">
        <v>423</v>
      </c>
      <c r="BC12" s="19" t="s">
        <v>423</v>
      </c>
      <c r="BD12" s="19" t="s">
        <v>423</v>
      </c>
      <c r="BE12" s="19" t="s">
        <v>423</v>
      </c>
      <c r="BF12" s="19" t="s">
        <v>423</v>
      </c>
    </row>
    <row r="13" spans="1:58" s="1" customFormat="1" ht="57" customHeight="1" x14ac:dyDescent="0.25">
      <c r="A13" s="22">
        <v>43476</v>
      </c>
      <c r="B13" s="6" t="s">
        <v>184</v>
      </c>
      <c r="C13" s="10" t="s">
        <v>120</v>
      </c>
      <c r="D13" s="16" t="s">
        <v>51</v>
      </c>
      <c r="E13" s="16" t="s">
        <v>52</v>
      </c>
      <c r="F13" s="21" t="s">
        <v>53</v>
      </c>
      <c r="G13" s="5" t="s">
        <v>207</v>
      </c>
      <c r="H13" s="23">
        <f>6075+1400+10800+1400+10800+1400+10800+1400+6750+6750+5400+1400</f>
        <v>64375</v>
      </c>
      <c r="I13" s="13">
        <f>6800+6800+8100+5400+700+5400</f>
        <v>33200</v>
      </c>
      <c r="J13" s="5" t="s">
        <v>87</v>
      </c>
      <c r="K13" s="16" t="s">
        <v>121</v>
      </c>
      <c r="L13" s="16" t="s">
        <v>122</v>
      </c>
      <c r="M13" s="16" t="s">
        <v>123</v>
      </c>
      <c r="N13" s="16" t="s">
        <v>124</v>
      </c>
      <c r="O13" s="16" t="s">
        <v>125</v>
      </c>
      <c r="P13" s="16" t="s">
        <v>126</v>
      </c>
      <c r="Q13" s="16" t="s">
        <v>127</v>
      </c>
      <c r="R13" s="16" t="s">
        <v>128</v>
      </c>
      <c r="S13" s="19" t="s">
        <v>423</v>
      </c>
      <c r="T13" s="19" t="s">
        <v>423</v>
      </c>
      <c r="U13" s="19" t="s">
        <v>423</v>
      </c>
      <c r="V13" s="19" t="s">
        <v>423</v>
      </c>
      <c r="W13" s="19" t="s">
        <v>423</v>
      </c>
      <c r="X13" s="19" t="s">
        <v>423</v>
      </c>
      <c r="Y13" s="19" t="s">
        <v>423</v>
      </c>
      <c r="Z13" s="19" t="s">
        <v>423</v>
      </c>
      <c r="AA13" s="19" t="s">
        <v>423</v>
      </c>
      <c r="AB13" s="19" t="s">
        <v>423</v>
      </c>
      <c r="AC13" s="19" t="s">
        <v>423</v>
      </c>
      <c r="AD13" s="19" t="s">
        <v>423</v>
      </c>
      <c r="AE13" s="19" t="s">
        <v>423</v>
      </c>
      <c r="AF13" s="19" t="s">
        <v>423</v>
      </c>
      <c r="AG13" s="19" t="s">
        <v>423</v>
      </c>
      <c r="AH13" s="19" t="s">
        <v>423</v>
      </c>
      <c r="AI13" s="19" t="s">
        <v>423</v>
      </c>
      <c r="AJ13" s="19" t="s">
        <v>423</v>
      </c>
      <c r="AK13" s="19" t="s">
        <v>423</v>
      </c>
      <c r="AL13" s="19" t="s">
        <v>423</v>
      </c>
      <c r="AM13" s="19" t="s">
        <v>423</v>
      </c>
      <c r="AN13" s="19" t="s">
        <v>423</v>
      </c>
      <c r="AO13" s="19" t="s">
        <v>423</v>
      </c>
      <c r="AP13" s="19" t="s">
        <v>423</v>
      </c>
      <c r="AQ13" s="19" t="s">
        <v>423</v>
      </c>
      <c r="AR13" s="19" t="s">
        <v>423</v>
      </c>
      <c r="AS13" s="19" t="s">
        <v>423</v>
      </c>
      <c r="AT13" s="19" t="s">
        <v>423</v>
      </c>
      <c r="AU13" s="19" t="s">
        <v>423</v>
      </c>
      <c r="AV13" s="19" t="s">
        <v>423</v>
      </c>
      <c r="AW13" s="19" t="s">
        <v>423</v>
      </c>
      <c r="AX13" s="19" t="s">
        <v>423</v>
      </c>
      <c r="AY13" s="19" t="s">
        <v>423</v>
      </c>
      <c r="AZ13" s="19" t="s">
        <v>423</v>
      </c>
      <c r="BA13" s="19" t="s">
        <v>423</v>
      </c>
      <c r="BB13" s="19" t="s">
        <v>423</v>
      </c>
      <c r="BC13" s="19" t="s">
        <v>423</v>
      </c>
      <c r="BD13" s="19" t="s">
        <v>423</v>
      </c>
      <c r="BE13" s="19" t="s">
        <v>423</v>
      </c>
      <c r="BF13" s="19" t="s">
        <v>423</v>
      </c>
    </row>
    <row r="14" spans="1:58" s="1" customFormat="1" ht="36.75" customHeight="1" x14ac:dyDescent="0.25">
      <c r="A14" s="22">
        <v>43481</v>
      </c>
      <c r="B14" s="6" t="s">
        <v>186</v>
      </c>
      <c r="C14" s="16" t="s">
        <v>92</v>
      </c>
      <c r="D14" s="16" t="s">
        <v>19</v>
      </c>
      <c r="E14" s="16" t="s">
        <v>54</v>
      </c>
      <c r="F14" s="21" t="s">
        <v>55</v>
      </c>
      <c r="G14" s="5" t="s">
        <v>423</v>
      </c>
      <c r="H14" s="23">
        <f>33675.72+33675.72+16837.68</f>
        <v>84189.119999999995</v>
      </c>
      <c r="I14" s="13">
        <v>0</v>
      </c>
      <c r="J14" s="5" t="s">
        <v>88</v>
      </c>
      <c r="K14" s="16" t="s">
        <v>93</v>
      </c>
      <c r="L14" s="16" t="s">
        <v>94</v>
      </c>
      <c r="M14" s="16" t="s">
        <v>95</v>
      </c>
      <c r="N14" s="16" t="s">
        <v>96</v>
      </c>
      <c r="O14" s="19" t="s">
        <v>423</v>
      </c>
      <c r="P14" s="19" t="s">
        <v>423</v>
      </c>
      <c r="Q14" s="19" t="s">
        <v>423</v>
      </c>
      <c r="R14" s="19" t="s">
        <v>423</v>
      </c>
      <c r="S14" s="19" t="s">
        <v>423</v>
      </c>
      <c r="T14" s="19" t="s">
        <v>423</v>
      </c>
      <c r="U14" s="19" t="s">
        <v>423</v>
      </c>
      <c r="V14" s="19" t="s">
        <v>423</v>
      </c>
      <c r="W14" s="19" t="s">
        <v>423</v>
      </c>
      <c r="X14" s="19" t="s">
        <v>423</v>
      </c>
      <c r="Y14" s="19" t="s">
        <v>423</v>
      </c>
      <c r="Z14" s="19" t="s">
        <v>423</v>
      </c>
      <c r="AA14" s="19" t="s">
        <v>423</v>
      </c>
      <c r="AB14" s="19" t="s">
        <v>423</v>
      </c>
      <c r="AC14" s="19" t="s">
        <v>423</v>
      </c>
      <c r="AD14" s="19" t="s">
        <v>423</v>
      </c>
      <c r="AE14" s="19" t="s">
        <v>423</v>
      </c>
      <c r="AF14" s="19" t="s">
        <v>423</v>
      </c>
      <c r="AG14" s="19" t="s">
        <v>423</v>
      </c>
      <c r="AH14" s="19" t="s">
        <v>423</v>
      </c>
      <c r="AI14" s="19" t="s">
        <v>423</v>
      </c>
      <c r="AJ14" s="19" t="s">
        <v>423</v>
      </c>
      <c r="AK14" s="19" t="s">
        <v>423</v>
      </c>
      <c r="AL14" s="19" t="s">
        <v>423</v>
      </c>
      <c r="AM14" s="19" t="s">
        <v>423</v>
      </c>
      <c r="AN14" s="19" t="s">
        <v>423</v>
      </c>
      <c r="AO14" s="19" t="s">
        <v>423</v>
      </c>
      <c r="AP14" s="19" t="s">
        <v>423</v>
      </c>
      <c r="AQ14" s="19" t="s">
        <v>423</v>
      </c>
      <c r="AR14" s="19" t="s">
        <v>423</v>
      </c>
      <c r="AS14" s="19" t="s">
        <v>423</v>
      </c>
      <c r="AT14" s="19" t="s">
        <v>423</v>
      </c>
      <c r="AU14" s="19" t="s">
        <v>423</v>
      </c>
      <c r="AV14" s="19" t="s">
        <v>423</v>
      </c>
      <c r="AW14" s="19" t="s">
        <v>423</v>
      </c>
      <c r="AX14" s="19" t="s">
        <v>423</v>
      </c>
      <c r="AY14" s="19" t="s">
        <v>423</v>
      </c>
      <c r="AZ14" s="19" t="s">
        <v>423</v>
      </c>
      <c r="BA14" s="19" t="s">
        <v>423</v>
      </c>
      <c r="BB14" s="19" t="s">
        <v>423</v>
      </c>
      <c r="BC14" s="19" t="s">
        <v>423</v>
      </c>
      <c r="BD14" s="19" t="s">
        <v>423</v>
      </c>
      <c r="BE14" s="19" t="s">
        <v>423</v>
      </c>
      <c r="BF14" s="19" t="s">
        <v>423</v>
      </c>
    </row>
    <row r="15" spans="1:58" s="1" customFormat="1" ht="42" customHeight="1" x14ac:dyDescent="0.25">
      <c r="A15" s="22">
        <v>43489</v>
      </c>
      <c r="B15" s="6" t="s">
        <v>185</v>
      </c>
      <c r="C15" s="10" t="s">
        <v>129</v>
      </c>
      <c r="D15" s="16" t="s">
        <v>8</v>
      </c>
      <c r="E15" s="16" t="s">
        <v>56</v>
      </c>
      <c r="F15" s="21" t="s">
        <v>57</v>
      </c>
      <c r="G15" s="5" t="s">
        <v>422</v>
      </c>
      <c r="H15" s="23">
        <f>4791+3194+4935+1645+3290.01+4935+3290+3290.01+3290.01+3290</f>
        <v>35950.030000000006</v>
      </c>
      <c r="I15" s="13">
        <f>4935</f>
        <v>4935</v>
      </c>
      <c r="J15" s="5" t="s">
        <v>88</v>
      </c>
      <c r="K15" s="16" t="s">
        <v>157</v>
      </c>
      <c r="L15" s="16" t="s">
        <v>158</v>
      </c>
      <c r="M15" s="19" t="s">
        <v>423</v>
      </c>
      <c r="N15" s="19" t="s">
        <v>423</v>
      </c>
      <c r="O15" s="19" t="s">
        <v>423</v>
      </c>
      <c r="P15" s="19" t="s">
        <v>423</v>
      </c>
      <c r="Q15" s="19" t="s">
        <v>423</v>
      </c>
      <c r="R15" s="19" t="s">
        <v>423</v>
      </c>
      <c r="S15" s="19" t="s">
        <v>423</v>
      </c>
      <c r="T15" s="19" t="s">
        <v>423</v>
      </c>
      <c r="U15" s="19" t="s">
        <v>423</v>
      </c>
      <c r="V15" s="19" t="s">
        <v>423</v>
      </c>
      <c r="W15" s="19" t="s">
        <v>423</v>
      </c>
      <c r="X15" s="19" t="s">
        <v>423</v>
      </c>
      <c r="Y15" s="19" t="s">
        <v>423</v>
      </c>
      <c r="Z15" s="19" t="s">
        <v>423</v>
      </c>
      <c r="AA15" s="19" t="s">
        <v>423</v>
      </c>
      <c r="AB15" s="19" t="s">
        <v>423</v>
      </c>
      <c r="AC15" s="19" t="s">
        <v>423</v>
      </c>
      <c r="AD15" s="19" t="s">
        <v>423</v>
      </c>
      <c r="AE15" s="19" t="s">
        <v>423</v>
      </c>
      <c r="AF15" s="19" t="s">
        <v>423</v>
      </c>
      <c r="AG15" s="19" t="s">
        <v>423</v>
      </c>
      <c r="AH15" s="19" t="s">
        <v>423</v>
      </c>
      <c r="AI15" s="19" t="s">
        <v>423</v>
      </c>
      <c r="AJ15" s="19" t="s">
        <v>423</v>
      </c>
      <c r="AK15" s="19" t="s">
        <v>423</v>
      </c>
      <c r="AL15" s="19" t="s">
        <v>423</v>
      </c>
      <c r="AM15" s="19" t="s">
        <v>423</v>
      </c>
      <c r="AN15" s="19" t="s">
        <v>423</v>
      </c>
      <c r="AO15" s="19" t="s">
        <v>423</v>
      </c>
      <c r="AP15" s="19" t="s">
        <v>423</v>
      </c>
      <c r="AQ15" s="19" t="s">
        <v>423</v>
      </c>
      <c r="AR15" s="19" t="s">
        <v>423</v>
      </c>
      <c r="AS15" s="19" t="s">
        <v>423</v>
      </c>
      <c r="AT15" s="19" t="s">
        <v>423</v>
      </c>
      <c r="AU15" s="19" t="s">
        <v>423</v>
      </c>
      <c r="AV15" s="19" t="s">
        <v>423</v>
      </c>
      <c r="AW15" s="19" t="s">
        <v>423</v>
      </c>
      <c r="AX15" s="19" t="s">
        <v>423</v>
      </c>
      <c r="AY15" s="19" t="s">
        <v>423</v>
      </c>
      <c r="AZ15" s="19" t="s">
        <v>423</v>
      </c>
      <c r="BA15" s="19" t="s">
        <v>423</v>
      </c>
      <c r="BB15" s="19" t="s">
        <v>423</v>
      </c>
      <c r="BC15" s="19" t="s">
        <v>423</v>
      </c>
      <c r="BD15" s="19" t="s">
        <v>423</v>
      </c>
      <c r="BE15" s="19" t="s">
        <v>423</v>
      </c>
      <c r="BF15" s="19" t="s">
        <v>423</v>
      </c>
    </row>
    <row r="16" spans="1:58" s="1" customFormat="1" ht="45.75" customHeight="1" x14ac:dyDescent="0.25">
      <c r="A16" s="22">
        <v>43489</v>
      </c>
      <c r="B16" s="6" t="s">
        <v>202</v>
      </c>
      <c r="C16" s="10" t="s">
        <v>131</v>
      </c>
      <c r="D16" s="16" t="s">
        <v>11</v>
      </c>
      <c r="E16" s="16" t="s">
        <v>58</v>
      </c>
      <c r="F16" s="21" t="s">
        <v>59</v>
      </c>
      <c r="G16" s="5" t="s">
        <v>423</v>
      </c>
      <c r="H16" s="23">
        <f>1391.9+740.85+1391.9+1388.1+1391.9+1391.9+987.8+808.2+987.8+987.8+1144.95+738.82+1144.95</f>
        <v>14496.869999999999</v>
      </c>
      <c r="I16" s="13">
        <v>0</v>
      </c>
      <c r="J16" s="5" t="s">
        <v>87</v>
      </c>
      <c r="K16" s="16" t="s">
        <v>132</v>
      </c>
      <c r="L16" s="16" t="s">
        <v>133</v>
      </c>
      <c r="M16" s="16" t="s">
        <v>134</v>
      </c>
      <c r="N16" s="16" t="s">
        <v>135</v>
      </c>
      <c r="O16" s="19" t="s">
        <v>423</v>
      </c>
      <c r="P16" s="19" t="s">
        <v>423</v>
      </c>
      <c r="Q16" s="19" t="s">
        <v>423</v>
      </c>
      <c r="R16" s="19" t="s">
        <v>423</v>
      </c>
      <c r="S16" s="19" t="s">
        <v>423</v>
      </c>
      <c r="T16" s="19" t="s">
        <v>423</v>
      </c>
      <c r="U16" s="19" t="s">
        <v>423</v>
      </c>
      <c r="V16" s="19" t="s">
        <v>423</v>
      </c>
      <c r="W16" s="19" t="s">
        <v>423</v>
      </c>
      <c r="X16" s="19" t="s">
        <v>423</v>
      </c>
      <c r="Y16" s="19" t="s">
        <v>423</v>
      </c>
      <c r="Z16" s="19" t="s">
        <v>423</v>
      </c>
      <c r="AA16" s="19" t="s">
        <v>423</v>
      </c>
      <c r="AB16" s="19" t="s">
        <v>423</v>
      </c>
      <c r="AC16" s="19" t="s">
        <v>423</v>
      </c>
      <c r="AD16" s="19" t="s">
        <v>423</v>
      </c>
      <c r="AE16" s="19" t="s">
        <v>423</v>
      </c>
      <c r="AF16" s="19" t="s">
        <v>423</v>
      </c>
      <c r="AG16" s="19" t="s">
        <v>423</v>
      </c>
      <c r="AH16" s="19" t="s">
        <v>423</v>
      </c>
      <c r="AI16" s="19" t="s">
        <v>423</v>
      </c>
      <c r="AJ16" s="19" t="s">
        <v>423</v>
      </c>
      <c r="AK16" s="19" t="s">
        <v>423</v>
      </c>
      <c r="AL16" s="19" t="s">
        <v>423</v>
      </c>
      <c r="AM16" s="19" t="s">
        <v>423</v>
      </c>
      <c r="AN16" s="19" t="s">
        <v>423</v>
      </c>
      <c r="AO16" s="19" t="s">
        <v>423</v>
      </c>
      <c r="AP16" s="19" t="s">
        <v>423</v>
      </c>
      <c r="AQ16" s="19" t="s">
        <v>423</v>
      </c>
      <c r="AR16" s="19" t="s">
        <v>423</v>
      </c>
      <c r="AS16" s="19" t="s">
        <v>423</v>
      </c>
      <c r="AT16" s="19" t="s">
        <v>423</v>
      </c>
      <c r="AU16" s="19" t="s">
        <v>423</v>
      </c>
      <c r="AV16" s="19" t="s">
        <v>423</v>
      </c>
      <c r="AW16" s="19" t="s">
        <v>423</v>
      </c>
      <c r="AX16" s="19" t="s">
        <v>423</v>
      </c>
      <c r="AY16" s="19" t="s">
        <v>423</v>
      </c>
      <c r="AZ16" s="19" t="s">
        <v>423</v>
      </c>
      <c r="BA16" s="19" t="s">
        <v>423</v>
      </c>
      <c r="BB16" s="19" t="s">
        <v>423</v>
      </c>
      <c r="BC16" s="19" t="s">
        <v>423</v>
      </c>
      <c r="BD16" s="19" t="s">
        <v>423</v>
      </c>
      <c r="BE16" s="19" t="s">
        <v>423</v>
      </c>
      <c r="BF16" s="19" t="s">
        <v>423</v>
      </c>
    </row>
    <row r="17" spans="1:72" ht="36.75" customHeight="1" x14ac:dyDescent="0.25">
      <c r="A17" s="22">
        <v>43489</v>
      </c>
      <c r="B17" s="6" t="s">
        <v>187</v>
      </c>
      <c r="C17" s="10" t="s">
        <v>129</v>
      </c>
      <c r="D17" s="16" t="s">
        <v>8</v>
      </c>
      <c r="E17" s="16" t="s">
        <v>60</v>
      </c>
      <c r="F17" s="21" t="s">
        <v>61</v>
      </c>
      <c r="G17" s="5" t="s">
        <v>203</v>
      </c>
      <c r="H17" s="23">
        <f>3973.19+4845.22+1090.2+4791+5330+9343.83+8111.39+4146.41+5087.6+7122.4+8245.61+4804.8+9175.59</f>
        <v>76067.240000000005</v>
      </c>
      <c r="I17" s="13">
        <f>15070.01+420.8</f>
        <v>15490.81</v>
      </c>
      <c r="J17" s="5" t="s">
        <v>88</v>
      </c>
      <c r="K17" s="16" t="s">
        <v>157</v>
      </c>
      <c r="L17" s="16" t="s">
        <v>158</v>
      </c>
      <c r="M17" s="19" t="s">
        <v>423</v>
      </c>
      <c r="N17" s="19" t="s">
        <v>423</v>
      </c>
      <c r="O17" s="19" t="s">
        <v>423</v>
      </c>
      <c r="P17" s="19" t="s">
        <v>423</v>
      </c>
      <c r="Q17" s="19" t="s">
        <v>423</v>
      </c>
      <c r="R17" s="19" t="s">
        <v>423</v>
      </c>
      <c r="S17" s="19" t="s">
        <v>423</v>
      </c>
      <c r="T17" s="19" t="s">
        <v>423</v>
      </c>
      <c r="U17" s="19" t="s">
        <v>423</v>
      </c>
      <c r="V17" s="19" t="s">
        <v>423</v>
      </c>
      <c r="W17" s="19" t="s">
        <v>423</v>
      </c>
      <c r="X17" s="19" t="s">
        <v>423</v>
      </c>
      <c r="Y17" s="19" t="s">
        <v>423</v>
      </c>
      <c r="Z17" s="19" t="s">
        <v>423</v>
      </c>
      <c r="AA17" s="19" t="s">
        <v>423</v>
      </c>
      <c r="AB17" s="19" t="s">
        <v>423</v>
      </c>
      <c r="AC17" s="19" t="s">
        <v>423</v>
      </c>
      <c r="AD17" s="19" t="s">
        <v>423</v>
      </c>
      <c r="AE17" s="19" t="s">
        <v>423</v>
      </c>
      <c r="AF17" s="19" t="s">
        <v>423</v>
      </c>
      <c r="AG17" s="19" t="s">
        <v>423</v>
      </c>
      <c r="AH17" s="19" t="s">
        <v>423</v>
      </c>
      <c r="AI17" s="19" t="s">
        <v>423</v>
      </c>
      <c r="AJ17" s="19" t="s">
        <v>423</v>
      </c>
      <c r="AK17" s="19" t="s">
        <v>423</v>
      </c>
      <c r="AL17" s="19" t="s">
        <v>423</v>
      </c>
      <c r="AM17" s="19" t="s">
        <v>423</v>
      </c>
      <c r="AN17" s="19" t="s">
        <v>423</v>
      </c>
      <c r="AO17" s="19" t="s">
        <v>423</v>
      </c>
      <c r="AP17" s="19" t="s">
        <v>423</v>
      </c>
      <c r="AQ17" s="19" t="s">
        <v>423</v>
      </c>
      <c r="AR17" s="19" t="s">
        <v>423</v>
      </c>
      <c r="AS17" s="19" t="s">
        <v>423</v>
      </c>
      <c r="AT17" s="19" t="s">
        <v>423</v>
      </c>
      <c r="AU17" s="19" t="s">
        <v>423</v>
      </c>
      <c r="AV17" s="19" t="s">
        <v>423</v>
      </c>
      <c r="AW17" s="19" t="s">
        <v>423</v>
      </c>
      <c r="AX17" s="19" t="s">
        <v>423</v>
      </c>
      <c r="AY17" s="19" t="s">
        <v>423</v>
      </c>
      <c r="AZ17" s="19" t="s">
        <v>423</v>
      </c>
      <c r="BA17" s="19" t="s">
        <v>423</v>
      </c>
      <c r="BB17" s="19" t="s">
        <v>423</v>
      </c>
      <c r="BC17" s="19" t="s">
        <v>423</v>
      </c>
      <c r="BD17" s="19" t="s">
        <v>423</v>
      </c>
      <c r="BE17" s="19" t="s">
        <v>423</v>
      </c>
      <c r="BF17" s="19" t="s">
        <v>423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81.75" customHeight="1" x14ac:dyDescent="0.25">
      <c r="A18" s="22">
        <v>43489</v>
      </c>
      <c r="B18" s="6" t="s">
        <v>188</v>
      </c>
      <c r="C18" s="10" t="s">
        <v>159</v>
      </c>
      <c r="D18" s="16" t="s">
        <v>13</v>
      </c>
      <c r="E18" s="16" t="s">
        <v>62</v>
      </c>
      <c r="F18" s="21" t="s">
        <v>59</v>
      </c>
      <c r="G18" s="5"/>
      <c r="H18" s="24">
        <f>770.34+1318.4+612.35+1358.21+1358.21+793.6+793.6+920.44+1358.21+630.84+920.44+193.07+1165.14+793.6+193.07</f>
        <v>13179.52</v>
      </c>
      <c r="I18" s="13">
        <f>639.34+1130.86+1358.21+630.84+630.84+1324.9</f>
        <v>5714.99</v>
      </c>
      <c r="J18" s="5" t="s">
        <v>87</v>
      </c>
      <c r="K18" s="4" t="s">
        <v>160</v>
      </c>
      <c r="L18" s="4" t="s">
        <v>161</v>
      </c>
      <c r="M18" s="19" t="s">
        <v>423</v>
      </c>
      <c r="N18" s="19" t="s">
        <v>423</v>
      </c>
      <c r="O18" s="19" t="s">
        <v>423</v>
      </c>
      <c r="P18" s="19" t="s">
        <v>423</v>
      </c>
      <c r="Q18" s="19" t="s">
        <v>423</v>
      </c>
      <c r="R18" s="19" t="s">
        <v>423</v>
      </c>
      <c r="S18" s="19" t="s">
        <v>423</v>
      </c>
      <c r="T18" s="19" t="s">
        <v>423</v>
      </c>
      <c r="U18" s="19" t="s">
        <v>423</v>
      </c>
      <c r="V18" s="19" t="s">
        <v>423</v>
      </c>
      <c r="W18" s="19" t="s">
        <v>423</v>
      </c>
      <c r="X18" s="19" t="s">
        <v>423</v>
      </c>
      <c r="Y18" s="19" t="s">
        <v>423</v>
      </c>
      <c r="Z18" s="19" t="s">
        <v>423</v>
      </c>
      <c r="AA18" s="19" t="s">
        <v>423</v>
      </c>
      <c r="AB18" s="19" t="s">
        <v>423</v>
      </c>
      <c r="AC18" s="19" t="s">
        <v>423</v>
      </c>
      <c r="AD18" s="19" t="s">
        <v>423</v>
      </c>
      <c r="AE18" s="19" t="s">
        <v>423</v>
      </c>
      <c r="AF18" s="19" t="s">
        <v>423</v>
      </c>
      <c r="AG18" s="19" t="s">
        <v>423</v>
      </c>
      <c r="AH18" s="19" t="s">
        <v>423</v>
      </c>
      <c r="AI18" s="19" t="s">
        <v>423</v>
      </c>
      <c r="AJ18" s="19" t="s">
        <v>423</v>
      </c>
      <c r="AK18" s="19" t="s">
        <v>423</v>
      </c>
      <c r="AL18" s="19" t="s">
        <v>423</v>
      </c>
      <c r="AM18" s="19" t="s">
        <v>423</v>
      </c>
      <c r="AN18" s="19" t="s">
        <v>423</v>
      </c>
      <c r="AO18" s="19" t="s">
        <v>423</v>
      </c>
      <c r="AP18" s="19" t="s">
        <v>423</v>
      </c>
      <c r="AQ18" s="19" t="s">
        <v>423</v>
      </c>
      <c r="AR18" s="19" t="s">
        <v>423</v>
      </c>
      <c r="AS18" s="19" t="s">
        <v>423</v>
      </c>
      <c r="AT18" s="19" t="s">
        <v>423</v>
      </c>
      <c r="AU18" s="19" t="s">
        <v>423</v>
      </c>
      <c r="AV18" s="19" t="s">
        <v>423</v>
      </c>
      <c r="AW18" s="19" t="s">
        <v>423</v>
      </c>
      <c r="AX18" s="19" t="s">
        <v>423</v>
      </c>
      <c r="AY18" s="19" t="s">
        <v>423</v>
      </c>
      <c r="AZ18" s="19" t="s">
        <v>423</v>
      </c>
      <c r="BA18" s="19" t="s">
        <v>423</v>
      </c>
      <c r="BB18" s="19" t="s">
        <v>423</v>
      </c>
      <c r="BC18" s="19" t="s">
        <v>423</v>
      </c>
      <c r="BD18" s="19" t="s">
        <v>423</v>
      </c>
      <c r="BE18" s="19" t="s">
        <v>423</v>
      </c>
      <c r="BF18" s="19" t="s">
        <v>423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59.25" customHeight="1" x14ac:dyDescent="0.25">
      <c r="A19" s="22">
        <v>43493</v>
      </c>
      <c r="B19" s="21" t="s">
        <v>189</v>
      </c>
      <c r="C19" s="16" t="s">
        <v>136</v>
      </c>
      <c r="D19" s="16" t="s">
        <v>5</v>
      </c>
      <c r="E19" s="16" t="s">
        <v>63</v>
      </c>
      <c r="F19" s="21" t="s">
        <v>57</v>
      </c>
      <c r="G19" s="19" t="s">
        <v>423</v>
      </c>
      <c r="H19" s="24">
        <f>1893.76+1893.76+1893.76+2710.84+1706.54+1941.11+1941.11+2062.29+1941.11+3556.64+1941.11+2416.48+1941.11+4435.39+359.9+1941.11+1807.08+1941.11+3137.82+1941.11+1941.11+1492.17+1349.62+3805.44</f>
        <v>51991.48000000001</v>
      </c>
      <c r="I19" s="18">
        <v>0</v>
      </c>
      <c r="J19" s="5" t="s">
        <v>88</v>
      </c>
      <c r="K19" s="16" t="s">
        <v>137</v>
      </c>
      <c r="L19" s="16" t="s">
        <v>138</v>
      </c>
      <c r="M19" s="16" t="s">
        <v>139</v>
      </c>
      <c r="N19" s="16" t="s">
        <v>140</v>
      </c>
      <c r="O19" s="19" t="s">
        <v>423</v>
      </c>
      <c r="P19" s="19" t="s">
        <v>423</v>
      </c>
      <c r="Q19" s="19" t="s">
        <v>423</v>
      </c>
      <c r="R19" s="19" t="s">
        <v>423</v>
      </c>
      <c r="S19" s="19" t="s">
        <v>423</v>
      </c>
      <c r="T19" s="19" t="s">
        <v>423</v>
      </c>
      <c r="U19" s="19" t="s">
        <v>423</v>
      </c>
      <c r="V19" s="19" t="s">
        <v>423</v>
      </c>
      <c r="W19" s="19" t="s">
        <v>423</v>
      </c>
      <c r="X19" s="19" t="s">
        <v>423</v>
      </c>
      <c r="Y19" s="19" t="s">
        <v>423</v>
      </c>
      <c r="Z19" s="19" t="s">
        <v>423</v>
      </c>
      <c r="AA19" s="19" t="s">
        <v>423</v>
      </c>
      <c r="AB19" s="19" t="s">
        <v>423</v>
      </c>
      <c r="AC19" s="19" t="s">
        <v>423</v>
      </c>
      <c r="AD19" s="19" t="s">
        <v>423</v>
      </c>
      <c r="AE19" s="19" t="s">
        <v>423</v>
      </c>
      <c r="AF19" s="19" t="s">
        <v>423</v>
      </c>
      <c r="AG19" s="19" t="s">
        <v>423</v>
      </c>
      <c r="AH19" s="19" t="s">
        <v>423</v>
      </c>
      <c r="AI19" s="19" t="s">
        <v>423</v>
      </c>
      <c r="AJ19" s="19" t="s">
        <v>423</v>
      </c>
      <c r="AK19" s="19" t="s">
        <v>423</v>
      </c>
      <c r="AL19" s="19" t="s">
        <v>423</v>
      </c>
      <c r="AM19" s="19" t="s">
        <v>423</v>
      </c>
      <c r="AN19" s="19" t="s">
        <v>423</v>
      </c>
      <c r="AO19" s="19" t="s">
        <v>423</v>
      </c>
      <c r="AP19" s="19" t="s">
        <v>423</v>
      </c>
      <c r="AQ19" s="19" t="s">
        <v>423</v>
      </c>
      <c r="AR19" s="19" t="s">
        <v>423</v>
      </c>
      <c r="AS19" s="19" t="s">
        <v>423</v>
      </c>
      <c r="AT19" s="19" t="s">
        <v>423</v>
      </c>
      <c r="AU19" s="19" t="s">
        <v>423</v>
      </c>
      <c r="AV19" s="19" t="s">
        <v>423</v>
      </c>
      <c r="AW19" s="19" t="s">
        <v>423</v>
      </c>
      <c r="AX19" s="19" t="s">
        <v>423</v>
      </c>
      <c r="AY19" s="19" t="s">
        <v>423</v>
      </c>
      <c r="AZ19" s="19" t="s">
        <v>423</v>
      </c>
      <c r="BA19" s="19" t="s">
        <v>423</v>
      </c>
      <c r="BB19" s="19" t="s">
        <v>423</v>
      </c>
      <c r="BC19" s="19" t="s">
        <v>423</v>
      </c>
      <c r="BD19" s="19" t="s">
        <v>423</v>
      </c>
      <c r="BE19" s="19" t="s">
        <v>423</v>
      </c>
      <c r="BF19" s="19" t="s">
        <v>423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s="1" customFormat="1" ht="63" customHeight="1" x14ac:dyDescent="0.25">
      <c r="A20" s="22">
        <v>43493</v>
      </c>
      <c r="B20" s="21" t="s">
        <v>190</v>
      </c>
      <c r="C20" s="10" t="s">
        <v>131</v>
      </c>
      <c r="D20" s="16" t="s">
        <v>11</v>
      </c>
      <c r="E20" s="16" t="s">
        <v>64</v>
      </c>
      <c r="F20" s="21" t="s">
        <v>61</v>
      </c>
      <c r="G20" s="5" t="s">
        <v>203</v>
      </c>
      <c r="H20" s="33">
        <f>1687.04+1781.95*8+2807.84+2807.84+1947.1+860.74+2807.84+2047.38+1947.1+860.74+1186.64+1158.34+1687.04+1687.04</f>
        <v>37748.28</v>
      </c>
      <c r="I20" s="13">
        <f>1781.95+1781.95+1781.95+7301.77</f>
        <v>12647.62</v>
      </c>
      <c r="J20" s="5" t="s">
        <v>88</v>
      </c>
      <c r="K20" s="16" t="s">
        <v>132</v>
      </c>
      <c r="L20" s="16" t="s">
        <v>133</v>
      </c>
      <c r="M20" s="16" t="s">
        <v>134</v>
      </c>
      <c r="N20" s="16" t="s">
        <v>135</v>
      </c>
      <c r="O20" s="32"/>
      <c r="Q20" s="31"/>
      <c r="R20" s="19" t="s">
        <v>423</v>
      </c>
      <c r="S20" s="19" t="s">
        <v>423</v>
      </c>
      <c r="T20" s="19" t="s">
        <v>423</v>
      </c>
      <c r="U20" s="19" t="s">
        <v>423</v>
      </c>
      <c r="V20" s="19" t="s">
        <v>423</v>
      </c>
      <c r="W20" s="19" t="s">
        <v>423</v>
      </c>
      <c r="X20" s="19" t="s">
        <v>423</v>
      </c>
      <c r="Y20" s="19" t="s">
        <v>423</v>
      </c>
      <c r="Z20" s="19" t="s">
        <v>423</v>
      </c>
      <c r="AA20" s="19" t="s">
        <v>423</v>
      </c>
      <c r="AB20" s="19" t="s">
        <v>423</v>
      </c>
      <c r="AC20" s="19" t="s">
        <v>423</v>
      </c>
      <c r="AD20" s="19" t="s">
        <v>423</v>
      </c>
      <c r="AE20" s="19" t="s">
        <v>423</v>
      </c>
      <c r="AF20" s="19" t="s">
        <v>423</v>
      </c>
      <c r="AG20" s="19" t="s">
        <v>423</v>
      </c>
      <c r="AH20" s="19" t="s">
        <v>423</v>
      </c>
      <c r="AI20" s="19" t="s">
        <v>423</v>
      </c>
      <c r="AJ20" s="19" t="s">
        <v>423</v>
      </c>
      <c r="AK20" s="19" t="s">
        <v>423</v>
      </c>
      <c r="AL20" s="19" t="s">
        <v>423</v>
      </c>
      <c r="AM20" s="19" t="s">
        <v>423</v>
      </c>
      <c r="AN20" s="19" t="s">
        <v>423</v>
      </c>
      <c r="AO20" s="19" t="s">
        <v>423</v>
      </c>
      <c r="AP20" s="19" t="s">
        <v>423</v>
      </c>
      <c r="AQ20" s="19" t="s">
        <v>423</v>
      </c>
      <c r="AR20" s="19" t="s">
        <v>423</v>
      </c>
      <c r="AS20" s="19" t="s">
        <v>423</v>
      </c>
      <c r="AT20" s="19" t="s">
        <v>423</v>
      </c>
      <c r="AU20" s="19" t="s">
        <v>423</v>
      </c>
      <c r="AV20" s="19" t="s">
        <v>423</v>
      </c>
      <c r="AW20" s="19" t="s">
        <v>423</v>
      </c>
      <c r="AX20" s="19" t="s">
        <v>423</v>
      </c>
      <c r="AY20" s="19" t="s">
        <v>423</v>
      </c>
      <c r="AZ20" s="19" t="s">
        <v>423</v>
      </c>
      <c r="BA20" s="19" t="s">
        <v>423</v>
      </c>
      <c r="BB20" s="19" t="s">
        <v>423</v>
      </c>
      <c r="BC20" s="19" t="s">
        <v>423</v>
      </c>
      <c r="BD20" s="19" t="s">
        <v>423</v>
      </c>
      <c r="BE20" s="19" t="s">
        <v>423</v>
      </c>
      <c r="BF20" s="19" t="s">
        <v>423</v>
      </c>
    </row>
    <row r="21" spans="1:72" ht="35.25" customHeight="1" x14ac:dyDescent="0.25">
      <c r="A21" s="22">
        <v>43495</v>
      </c>
      <c r="B21" s="21" t="s">
        <v>191</v>
      </c>
      <c r="C21" s="16" t="s">
        <v>141</v>
      </c>
      <c r="D21" s="16" t="s">
        <v>17</v>
      </c>
      <c r="E21" s="16" t="s">
        <v>65</v>
      </c>
      <c r="F21" s="21" t="s">
        <v>66</v>
      </c>
      <c r="G21" s="5" t="s">
        <v>216</v>
      </c>
      <c r="H21" s="24">
        <f>53.6+953.22+52.38+923.85+943.93+52.38+926.81+52.38+924.92+52.38+52.38+1026.31+925.2+52.38+944.58+53.52+922.87+52.38+52.38+915.02+960.98+53.45+951.34+52.38</f>
        <v>11951.02</v>
      </c>
      <c r="I21" s="13">
        <f>1144.07+391.44+1100.51+984.89+990.07+53.73</f>
        <v>4664.7099999999991</v>
      </c>
      <c r="J21" s="5" t="s">
        <v>87</v>
      </c>
      <c r="K21" s="17" t="s">
        <v>293</v>
      </c>
      <c r="L21" s="17" t="s">
        <v>294</v>
      </c>
      <c r="M21" s="17" t="s">
        <v>295</v>
      </c>
      <c r="N21" s="17" t="s">
        <v>296</v>
      </c>
      <c r="O21" s="17" t="s">
        <v>297</v>
      </c>
      <c r="P21" s="17" t="s">
        <v>298</v>
      </c>
      <c r="Q21" s="17" t="s">
        <v>299</v>
      </c>
      <c r="R21" s="17" t="s">
        <v>300</v>
      </c>
      <c r="S21" s="17" t="s">
        <v>301</v>
      </c>
      <c r="T21" s="17" t="s">
        <v>302</v>
      </c>
      <c r="U21" s="17" t="s">
        <v>303</v>
      </c>
      <c r="V21" s="17" t="s">
        <v>304</v>
      </c>
      <c r="W21" s="17" t="s">
        <v>305</v>
      </c>
      <c r="X21" s="17" t="s">
        <v>306</v>
      </c>
      <c r="Y21" s="17" t="s">
        <v>307</v>
      </c>
      <c r="Z21" s="17" t="s">
        <v>308</v>
      </c>
      <c r="AA21" s="17" t="s">
        <v>309</v>
      </c>
      <c r="AB21" s="17" t="s">
        <v>310</v>
      </c>
      <c r="AC21" s="17" t="s">
        <v>311</v>
      </c>
      <c r="AD21" s="17" t="s">
        <v>312</v>
      </c>
      <c r="AE21" s="17" t="s">
        <v>313</v>
      </c>
      <c r="AF21" s="17" t="s">
        <v>314</v>
      </c>
      <c r="AG21" s="17" t="s">
        <v>315</v>
      </c>
      <c r="AH21" s="17" t="s">
        <v>316</v>
      </c>
      <c r="AI21" s="17" t="s">
        <v>317</v>
      </c>
      <c r="AJ21" s="17" t="s">
        <v>318</v>
      </c>
      <c r="AK21" s="17" t="s">
        <v>319</v>
      </c>
      <c r="AL21" s="17" t="s">
        <v>320</v>
      </c>
      <c r="AM21" s="19" t="s">
        <v>423</v>
      </c>
      <c r="AN21" s="19" t="s">
        <v>423</v>
      </c>
      <c r="AO21" s="19" t="s">
        <v>423</v>
      </c>
      <c r="AP21" s="19" t="s">
        <v>423</v>
      </c>
      <c r="AQ21" s="19" t="s">
        <v>423</v>
      </c>
      <c r="AR21" s="19" t="s">
        <v>423</v>
      </c>
      <c r="AS21" s="19" t="s">
        <v>423</v>
      </c>
      <c r="AT21" s="19" t="s">
        <v>423</v>
      </c>
      <c r="AU21" s="19" t="s">
        <v>423</v>
      </c>
      <c r="AV21" s="19" t="s">
        <v>423</v>
      </c>
      <c r="AW21" s="19" t="s">
        <v>423</v>
      </c>
      <c r="AX21" s="19" t="s">
        <v>423</v>
      </c>
      <c r="AY21" s="19" t="s">
        <v>423</v>
      </c>
      <c r="AZ21" s="19" t="s">
        <v>423</v>
      </c>
      <c r="BA21" s="19" t="s">
        <v>423</v>
      </c>
      <c r="BB21" s="19" t="s">
        <v>423</v>
      </c>
      <c r="BC21" s="19" t="s">
        <v>423</v>
      </c>
      <c r="BD21" s="19" t="s">
        <v>423</v>
      </c>
      <c r="BE21" s="19" t="s">
        <v>423</v>
      </c>
      <c r="BF21" s="19" t="s">
        <v>423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34.5" customHeight="1" x14ac:dyDescent="0.25">
      <c r="A22" s="22">
        <v>43504</v>
      </c>
      <c r="B22" s="6" t="s">
        <v>192</v>
      </c>
      <c r="C22" s="16" t="s">
        <v>142</v>
      </c>
      <c r="D22" s="16" t="s">
        <v>15</v>
      </c>
      <c r="E22" s="16" t="s">
        <v>67</v>
      </c>
      <c r="F22" s="21" t="s">
        <v>68</v>
      </c>
      <c r="G22" s="5" t="s">
        <v>217</v>
      </c>
      <c r="H22" s="24">
        <f>2042.67+4852.05+839.68+839.68+3412.88+3966.58+3988.96+3988.96+3988.96+3988.96+4114.21+4114.21+4114.21+4114.21+4114.21+4114.21+4114.21+4114.21+807.4+2928.14+3008.33+3390.35+832.76+4085.93+832.76+4291.9+4708.28+416.38+2508.38+2782.35+832.76+2782.35</f>
        <v>99031.12999999999</v>
      </c>
      <c r="I22" s="25">
        <v>18873.32</v>
      </c>
      <c r="J22" s="5" t="s">
        <v>88</v>
      </c>
      <c r="K22" s="16" t="s">
        <v>132</v>
      </c>
      <c r="L22" s="16" t="s">
        <v>133</v>
      </c>
      <c r="M22" s="16" t="s">
        <v>134</v>
      </c>
      <c r="N22" s="16" t="s">
        <v>135</v>
      </c>
      <c r="O22" s="19" t="s">
        <v>423</v>
      </c>
      <c r="P22" s="19" t="s">
        <v>423</v>
      </c>
      <c r="Q22" s="19" t="s">
        <v>423</v>
      </c>
      <c r="R22" s="19" t="s">
        <v>423</v>
      </c>
      <c r="S22" s="19" t="s">
        <v>423</v>
      </c>
      <c r="T22" s="19" t="s">
        <v>423</v>
      </c>
      <c r="U22" s="19" t="s">
        <v>423</v>
      </c>
      <c r="V22" s="19" t="s">
        <v>423</v>
      </c>
      <c r="W22" s="19" t="s">
        <v>423</v>
      </c>
      <c r="X22" s="19" t="s">
        <v>423</v>
      </c>
      <c r="Y22" s="19" t="s">
        <v>423</v>
      </c>
      <c r="Z22" s="19" t="s">
        <v>423</v>
      </c>
      <c r="AA22" s="19" t="s">
        <v>423</v>
      </c>
      <c r="AB22" s="19" t="s">
        <v>423</v>
      </c>
      <c r="AC22" s="19" t="s">
        <v>423</v>
      </c>
      <c r="AD22" s="19" t="s">
        <v>423</v>
      </c>
      <c r="AE22" s="19" t="s">
        <v>423</v>
      </c>
      <c r="AF22" s="19" t="s">
        <v>423</v>
      </c>
      <c r="AG22" s="19" t="s">
        <v>423</v>
      </c>
      <c r="AH22" s="19" t="s">
        <v>423</v>
      </c>
      <c r="AI22" s="19" t="s">
        <v>423</v>
      </c>
      <c r="AJ22" s="19" t="s">
        <v>423</v>
      </c>
      <c r="AK22" s="19" t="s">
        <v>423</v>
      </c>
      <c r="AL22" s="19" t="s">
        <v>423</v>
      </c>
      <c r="AM22" s="19" t="s">
        <v>423</v>
      </c>
      <c r="AN22" s="19" t="s">
        <v>423</v>
      </c>
      <c r="AO22" s="19" t="s">
        <v>423</v>
      </c>
      <c r="AP22" s="19" t="s">
        <v>423</v>
      </c>
      <c r="AQ22" s="19" t="s">
        <v>423</v>
      </c>
      <c r="AR22" s="19" t="s">
        <v>423</v>
      </c>
      <c r="AS22" s="19" t="s">
        <v>423</v>
      </c>
      <c r="AT22" s="19" t="s">
        <v>423</v>
      </c>
      <c r="AU22" s="19" t="s">
        <v>423</v>
      </c>
      <c r="AV22" s="19" t="s">
        <v>423</v>
      </c>
      <c r="AW22" s="19" t="s">
        <v>423</v>
      </c>
      <c r="AX22" s="19" t="s">
        <v>423</v>
      </c>
      <c r="AY22" s="19" t="s">
        <v>423</v>
      </c>
      <c r="AZ22" s="19" t="s">
        <v>423</v>
      </c>
      <c r="BA22" s="19" t="s">
        <v>423</v>
      </c>
      <c r="BB22" s="19" t="s">
        <v>423</v>
      </c>
      <c r="BC22" s="19" t="s">
        <v>423</v>
      </c>
      <c r="BD22" s="19" t="s">
        <v>423</v>
      </c>
      <c r="BE22" s="19" t="s">
        <v>423</v>
      </c>
      <c r="BF22" s="19" t="s">
        <v>423</v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38.25" customHeight="1" x14ac:dyDescent="0.25">
      <c r="A23" s="22">
        <v>43514</v>
      </c>
      <c r="B23" s="21" t="s">
        <v>193</v>
      </c>
      <c r="C23" s="16" t="s">
        <v>201</v>
      </c>
      <c r="D23" s="16" t="s">
        <v>10</v>
      </c>
      <c r="E23" s="16" t="s">
        <v>69</v>
      </c>
      <c r="F23" s="21" t="s">
        <v>70</v>
      </c>
      <c r="G23" s="5" t="s">
        <v>205</v>
      </c>
      <c r="H23" s="24">
        <f>25556.34+20483.75+25739.99+25285.51+21245.39+21488.2+30524.5+31860.28+28639.37+21+26299.25+33319.97+29357.27</f>
        <v>319820.82</v>
      </c>
      <c r="I23" s="13">
        <f>5555.35+25545.79+25859.13+28587.6+28028.38+24964.4</f>
        <v>138540.65</v>
      </c>
      <c r="J23" s="5" t="s">
        <v>87</v>
      </c>
      <c r="K23" s="4" t="s">
        <v>162</v>
      </c>
      <c r="L23" s="4" t="s">
        <v>163</v>
      </c>
      <c r="M23" s="4" t="s">
        <v>164</v>
      </c>
      <c r="N23" s="4" t="s">
        <v>165</v>
      </c>
      <c r="O23" s="19" t="s">
        <v>423</v>
      </c>
      <c r="P23" s="19" t="s">
        <v>423</v>
      </c>
      <c r="Q23" s="19" t="s">
        <v>423</v>
      </c>
      <c r="R23" s="19" t="s">
        <v>423</v>
      </c>
      <c r="S23" s="19" t="s">
        <v>423</v>
      </c>
      <c r="T23" s="19" t="s">
        <v>423</v>
      </c>
      <c r="U23" s="19" t="s">
        <v>423</v>
      </c>
      <c r="V23" s="19" t="s">
        <v>423</v>
      </c>
      <c r="W23" s="19" t="s">
        <v>423</v>
      </c>
      <c r="X23" s="19" t="s">
        <v>423</v>
      </c>
      <c r="Y23" s="19" t="s">
        <v>423</v>
      </c>
      <c r="Z23" s="19" t="s">
        <v>423</v>
      </c>
      <c r="AA23" s="19" t="s">
        <v>423</v>
      </c>
      <c r="AB23" s="19" t="s">
        <v>423</v>
      </c>
      <c r="AC23" s="19" t="s">
        <v>423</v>
      </c>
      <c r="AD23" s="19" t="s">
        <v>423</v>
      </c>
      <c r="AE23" s="19" t="s">
        <v>423</v>
      </c>
      <c r="AF23" s="19" t="s">
        <v>423</v>
      </c>
      <c r="AG23" s="19" t="s">
        <v>423</v>
      </c>
      <c r="AH23" s="19" t="s">
        <v>423</v>
      </c>
      <c r="AI23" s="19" t="s">
        <v>423</v>
      </c>
      <c r="AJ23" s="19" t="s">
        <v>423</v>
      </c>
      <c r="AK23" s="19" t="s">
        <v>423</v>
      </c>
      <c r="AL23" s="19" t="s">
        <v>423</v>
      </c>
      <c r="AM23" s="19" t="s">
        <v>423</v>
      </c>
      <c r="AN23" s="19" t="s">
        <v>423</v>
      </c>
      <c r="AO23" s="19" t="s">
        <v>423</v>
      </c>
      <c r="AP23" s="19" t="s">
        <v>423</v>
      </c>
      <c r="AQ23" s="19" t="s">
        <v>423</v>
      </c>
      <c r="AR23" s="19" t="s">
        <v>423</v>
      </c>
      <c r="AS23" s="19" t="s">
        <v>423</v>
      </c>
      <c r="AT23" s="19" t="s">
        <v>423</v>
      </c>
      <c r="AU23" s="19" t="s">
        <v>423</v>
      </c>
      <c r="AV23" s="19" t="s">
        <v>423</v>
      </c>
      <c r="AW23" s="19" t="s">
        <v>423</v>
      </c>
      <c r="AX23" s="19" t="s">
        <v>423</v>
      </c>
      <c r="AY23" s="19" t="s">
        <v>423</v>
      </c>
      <c r="AZ23" s="19" t="s">
        <v>423</v>
      </c>
      <c r="BA23" s="19" t="s">
        <v>423</v>
      </c>
      <c r="BB23" s="19" t="s">
        <v>423</v>
      </c>
      <c r="BC23" s="19" t="s">
        <v>423</v>
      </c>
      <c r="BD23" s="19" t="s">
        <v>423</v>
      </c>
      <c r="BE23" s="19" t="s">
        <v>423</v>
      </c>
      <c r="BF23" s="19" t="s">
        <v>423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35.25" customHeight="1" x14ac:dyDescent="0.25">
      <c r="A24" s="22">
        <v>43514</v>
      </c>
      <c r="B24" s="21" t="s">
        <v>194</v>
      </c>
      <c r="C24" s="16" t="s">
        <v>143</v>
      </c>
      <c r="D24" s="16" t="s">
        <v>71</v>
      </c>
      <c r="E24" s="16" t="s">
        <v>72</v>
      </c>
      <c r="F24" s="21" t="s">
        <v>73</v>
      </c>
      <c r="G24" s="5" t="s">
        <v>218</v>
      </c>
      <c r="H24" s="24">
        <v>10273.73</v>
      </c>
      <c r="I24" s="13">
        <v>10694.95</v>
      </c>
      <c r="J24" s="5" t="s">
        <v>87</v>
      </c>
      <c r="K24" s="16" t="s">
        <v>130</v>
      </c>
      <c r="L24" s="16" t="s">
        <v>130</v>
      </c>
      <c r="M24" s="19" t="s">
        <v>423</v>
      </c>
      <c r="N24" s="19" t="s">
        <v>423</v>
      </c>
      <c r="O24" s="19" t="s">
        <v>423</v>
      </c>
      <c r="P24" s="19" t="s">
        <v>423</v>
      </c>
      <c r="Q24" s="19" t="s">
        <v>423</v>
      </c>
      <c r="R24" s="19" t="s">
        <v>423</v>
      </c>
      <c r="S24" s="19" t="s">
        <v>423</v>
      </c>
      <c r="T24" s="19" t="s">
        <v>423</v>
      </c>
      <c r="U24" s="19" t="s">
        <v>423</v>
      </c>
      <c r="V24" s="19" t="s">
        <v>423</v>
      </c>
      <c r="W24" s="19" t="s">
        <v>423</v>
      </c>
      <c r="X24" s="19" t="s">
        <v>423</v>
      </c>
      <c r="Y24" s="19" t="s">
        <v>423</v>
      </c>
      <c r="Z24" s="19" t="s">
        <v>423</v>
      </c>
      <c r="AA24" s="19" t="s">
        <v>423</v>
      </c>
      <c r="AB24" s="19" t="s">
        <v>423</v>
      </c>
      <c r="AC24" s="19" t="s">
        <v>423</v>
      </c>
      <c r="AD24" s="19" t="s">
        <v>423</v>
      </c>
      <c r="AE24" s="19" t="s">
        <v>423</v>
      </c>
      <c r="AF24" s="19" t="s">
        <v>423</v>
      </c>
      <c r="AG24" s="19" t="s">
        <v>423</v>
      </c>
      <c r="AH24" s="19" t="s">
        <v>423</v>
      </c>
      <c r="AI24" s="19" t="s">
        <v>423</v>
      </c>
      <c r="AJ24" s="19" t="s">
        <v>423</v>
      </c>
      <c r="AK24" s="19" t="s">
        <v>423</v>
      </c>
      <c r="AL24" s="19" t="s">
        <v>423</v>
      </c>
      <c r="AM24" s="19" t="s">
        <v>423</v>
      </c>
      <c r="AN24" s="19" t="s">
        <v>423</v>
      </c>
      <c r="AO24" s="19" t="s">
        <v>423</v>
      </c>
      <c r="AP24" s="19" t="s">
        <v>423</v>
      </c>
      <c r="AQ24" s="19" t="s">
        <v>423</v>
      </c>
      <c r="AR24" s="19" t="s">
        <v>423</v>
      </c>
      <c r="AS24" s="19" t="s">
        <v>423</v>
      </c>
      <c r="AT24" s="19" t="s">
        <v>423</v>
      </c>
      <c r="AU24" s="19" t="s">
        <v>423</v>
      </c>
      <c r="AV24" s="19" t="s">
        <v>423</v>
      </c>
      <c r="AW24" s="19" t="s">
        <v>423</v>
      </c>
      <c r="AX24" s="19" t="s">
        <v>423</v>
      </c>
      <c r="AY24" s="19" t="s">
        <v>423</v>
      </c>
      <c r="AZ24" s="19" t="s">
        <v>423</v>
      </c>
      <c r="BA24" s="19" t="s">
        <v>423</v>
      </c>
      <c r="BB24" s="19" t="s">
        <v>423</v>
      </c>
      <c r="BC24" s="19" t="s">
        <v>423</v>
      </c>
      <c r="BD24" s="19" t="s">
        <v>423</v>
      </c>
      <c r="BE24" s="19" t="s">
        <v>423</v>
      </c>
      <c r="BF24" s="19" t="s">
        <v>423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65.25" customHeight="1" x14ac:dyDescent="0.25">
      <c r="A25" s="22">
        <v>43531</v>
      </c>
      <c r="B25" s="21" t="s">
        <v>195</v>
      </c>
      <c r="C25" s="16" t="s">
        <v>144</v>
      </c>
      <c r="D25" s="16" t="s">
        <v>12</v>
      </c>
      <c r="E25" s="16" t="s">
        <v>74</v>
      </c>
      <c r="F25" s="21" t="s">
        <v>75</v>
      </c>
      <c r="G25" s="5" t="s">
        <v>219</v>
      </c>
      <c r="H25" s="24">
        <f>2366.04+2366.04+2366.04+16192.54+8911.29+10166.27+2366.04+2366.04+2366.04+2366.04+2366.04+2366.04+2366.04+2366.04+2366.04+5136.8+11933.63+14208.8+13456.87+11857.73+1506.61+11248.92+13926.88+1246.78+440.04+13863.95+124.35+880.08+13455.11+124.35+124.35</f>
        <v>177197.83000000002</v>
      </c>
      <c r="I25" s="13">
        <v>82633.42</v>
      </c>
      <c r="J25" s="5" t="s">
        <v>87</v>
      </c>
      <c r="K25" s="4" t="s">
        <v>321</v>
      </c>
      <c r="L25" s="4" t="s">
        <v>322</v>
      </c>
      <c r="M25" s="4" t="s">
        <v>430</v>
      </c>
      <c r="N25" s="29" t="s">
        <v>323</v>
      </c>
      <c r="O25" s="4" t="s">
        <v>431</v>
      </c>
      <c r="P25" s="29" t="s">
        <v>324</v>
      </c>
      <c r="Q25" s="4" t="s">
        <v>325</v>
      </c>
      <c r="R25" s="4" t="s">
        <v>326</v>
      </c>
      <c r="S25" s="4" t="s">
        <v>327</v>
      </c>
      <c r="T25" s="4" t="s">
        <v>328</v>
      </c>
      <c r="U25" s="19" t="s">
        <v>423</v>
      </c>
      <c r="V25" s="19" t="s">
        <v>423</v>
      </c>
      <c r="W25" s="19" t="s">
        <v>423</v>
      </c>
      <c r="X25" s="19" t="s">
        <v>423</v>
      </c>
      <c r="Y25" s="19" t="s">
        <v>423</v>
      </c>
      <c r="Z25" s="19" t="s">
        <v>423</v>
      </c>
      <c r="AA25" s="19" t="s">
        <v>423</v>
      </c>
      <c r="AB25" s="19" t="s">
        <v>423</v>
      </c>
      <c r="AC25" s="19" t="s">
        <v>423</v>
      </c>
      <c r="AD25" s="19" t="s">
        <v>423</v>
      </c>
      <c r="AE25" s="19" t="s">
        <v>423</v>
      </c>
      <c r="AF25" s="19" t="s">
        <v>423</v>
      </c>
      <c r="AG25" s="19" t="s">
        <v>423</v>
      </c>
      <c r="AH25" s="19" t="s">
        <v>423</v>
      </c>
      <c r="AI25" s="19" t="s">
        <v>423</v>
      </c>
      <c r="AJ25" s="19" t="s">
        <v>423</v>
      </c>
      <c r="AK25" s="19" t="s">
        <v>423</v>
      </c>
      <c r="AL25" s="19" t="s">
        <v>423</v>
      </c>
      <c r="AM25" s="19" t="s">
        <v>423</v>
      </c>
      <c r="AN25" s="19" t="s">
        <v>423</v>
      </c>
      <c r="AO25" s="19" t="s">
        <v>423</v>
      </c>
      <c r="AP25" s="19" t="s">
        <v>423</v>
      </c>
      <c r="AQ25" s="19" t="s">
        <v>423</v>
      </c>
      <c r="AR25" s="19" t="s">
        <v>423</v>
      </c>
      <c r="AS25" s="19" t="s">
        <v>423</v>
      </c>
      <c r="AT25" s="19" t="s">
        <v>423</v>
      </c>
      <c r="AU25" s="19" t="s">
        <v>423</v>
      </c>
      <c r="AV25" s="19" t="s">
        <v>423</v>
      </c>
      <c r="AW25" s="19" t="s">
        <v>423</v>
      </c>
      <c r="AX25" s="19" t="s">
        <v>423</v>
      </c>
      <c r="AY25" s="19" t="s">
        <v>423</v>
      </c>
      <c r="AZ25" s="19" t="s">
        <v>423</v>
      </c>
      <c r="BA25" s="19" t="s">
        <v>423</v>
      </c>
      <c r="BB25" s="19" t="s">
        <v>423</v>
      </c>
      <c r="BC25" s="19" t="s">
        <v>423</v>
      </c>
      <c r="BD25" s="19" t="s">
        <v>423</v>
      </c>
      <c r="BE25" s="19" t="s">
        <v>423</v>
      </c>
      <c r="BF25" s="19" t="s">
        <v>423</v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44.25" customHeight="1" x14ac:dyDescent="0.25">
      <c r="A26" s="22">
        <v>43570</v>
      </c>
      <c r="B26" s="21" t="s">
        <v>196</v>
      </c>
      <c r="C26" s="16" t="s">
        <v>167</v>
      </c>
      <c r="D26" s="16" t="s">
        <v>14</v>
      </c>
      <c r="E26" s="16" t="s">
        <v>76</v>
      </c>
      <c r="F26" s="21" t="s">
        <v>77</v>
      </c>
      <c r="G26" s="5" t="s">
        <v>208</v>
      </c>
      <c r="H26" s="24">
        <f>3114.65+1245.86+1487.13+3114.65+3114.65+6229.3+6229.3</f>
        <v>24535.54</v>
      </c>
      <c r="I26" s="13">
        <f>6540.1+6540.1+520.45+1962.03</f>
        <v>15562.680000000002</v>
      </c>
      <c r="J26" s="5" t="s">
        <v>88</v>
      </c>
      <c r="K26" s="4" t="s">
        <v>329</v>
      </c>
      <c r="L26" s="4" t="s">
        <v>330</v>
      </c>
      <c r="M26" s="4" t="s">
        <v>331</v>
      </c>
      <c r="N26" s="4" t="s">
        <v>332</v>
      </c>
      <c r="O26" s="4" t="s">
        <v>432</v>
      </c>
      <c r="P26" s="29" t="s">
        <v>333</v>
      </c>
      <c r="Q26" s="4" t="s">
        <v>433</v>
      </c>
      <c r="R26" s="29" t="s">
        <v>334</v>
      </c>
      <c r="S26" s="19" t="s">
        <v>423</v>
      </c>
      <c r="T26" s="19" t="s">
        <v>423</v>
      </c>
      <c r="U26" s="19" t="s">
        <v>423</v>
      </c>
      <c r="V26" s="19" t="s">
        <v>423</v>
      </c>
      <c r="W26" s="19" t="s">
        <v>423</v>
      </c>
      <c r="X26" s="19" t="s">
        <v>423</v>
      </c>
      <c r="Y26" s="19" t="s">
        <v>423</v>
      </c>
      <c r="Z26" s="19" t="s">
        <v>423</v>
      </c>
      <c r="AA26" s="19" t="s">
        <v>423</v>
      </c>
      <c r="AB26" s="19" t="s">
        <v>423</v>
      </c>
      <c r="AC26" s="19" t="s">
        <v>423</v>
      </c>
      <c r="AD26" s="19" t="s">
        <v>423</v>
      </c>
      <c r="AE26" s="19" t="s">
        <v>423</v>
      </c>
      <c r="AF26" s="19" t="s">
        <v>423</v>
      </c>
      <c r="AG26" s="19" t="s">
        <v>423</v>
      </c>
      <c r="AH26" s="19" t="s">
        <v>423</v>
      </c>
      <c r="AI26" s="19" t="s">
        <v>423</v>
      </c>
      <c r="AJ26" s="19" t="s">
        <v>423</v>
      </c>
      <c r="AK26" s="19" t="s">
        <v>423</v>
      </c>
      <c r="AL26" s="19" t="s">
        <v>423</v>
      </c>
      <c r="AM26" s="19" t="s">
        <v>423</v>
      </c>
      <c r="AN26" s="19" t="s">
        <v>423</v>
      </c>
      <c r="AO26" s="19" t="s">
        <v>423</v>
      </c>
      <c r="AP26" s="19" t="s">
        <v>423</v>
      </c>
      <c r="AQ26" s="19" t="s">
        <v>423</v>
      </c>
      <c r="AR26" s="19" t="s">
        <v>423</v>
      </c>
      <c r="AS26" s="19" t="s">
        <v>423</v>
      </c>
      <c r="AT26" s="19" t="s">
        <v>423</v>
      </c>
      <c r="AU26" s="19" t="s">
        <v>423</v>
      </c>
      <c r="AV26" s="19" t="s">
        <v>423</v>
      </c>
      <c r="AW26" s="19" t="s">
        <v>423</v>
      </c>
      <c r="AX26" s="19" t="s">
        <v>423</v>
      </c>
      <c r="AY26" s="19" t="s">
        <v>423</v>
      </c>
      <c r="AZ26" s="19" t="s">
        <v>423</v>
      </c>
      <c r="BA26" s="19" t="s">
        <v>423</v>
      </c>
      <c r="BB26" s="19" t="s">
        <v>423</v>
      </c>
      <c r="BC26" s="19" t="s">
        <v>423</v>
      </c>
      <c r="BD26" s="19" t="s">
        <v>423</v>
      </c>
      <c r="BE26" s="19" t="s">
        <v>423</v>
      </c>
      <c r="BF26" s="19" t="s">
        <v>423</v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42.75" customHeight="1" x14ac:dyDescent="0.25">
      <c r="A27" s="22">
        <v>43734</v>
      </c>
      <c r="B27" s="21" t="s">
        <v>197</v>
      </c>
      <c r="C27" s="16" t="s">
        <v>168</v>
      </c>
      <c r="D27" s="16" t="s">
        <v>145</v>
      </c>
      <c r="E27" s="16" t="s">
        <v>78</v>
      </c>
      <c r="F27" s="21" t="s">
        <v>79</v>
      </c>
      <c r="G27" s="5" t="s">
        <v>209</v>
      </c>
      <c r="H27" s="24">
        <f>58.75+66.15+105+26.25+52.5+52.5+131.25+131.3+78.75+2094.12+2556.12+52.5+52.5+78.75+52.5+105+866.25+78.75+288.75+2687.16+157.5+157.5+105+157.5+52.5+105+183.75+131.25+26.25+831.6+132.3+2678.76+78.75+78.75+66.15+157.5+2432.64+831.6+105+66.15+58.75+391.28+58.75+117.5+391.28+195.64+75+131.25+183.75+2924.88+866.25+78.75+105+26.25+105+2648.52+105+78.75+78.75+1601.04+131.25+58.57+1663.2+262.5+66.15+2832.48+131.25+105+831.6+105+66.15+105+52.5+131.25+66.15+2432.64+26.25+157.5+2432.64+78.75+105+26.25+78.75+2155.44+78.75+157.5+210+66.15+2802.24+26.25+831.6+26.25+26.25+26.25+78.75+131.25+78.75+2555.28+25+78.75+105+210+105+1816.92+105+66.15+105+157.5+105+2310+157.5+78.75+2310+131.25+131.25+26.25+66.15+2679.6+131.25+183.75+2772+105+2802.24+131.25+78.75+78.75+105+78.75+831.6+105+2402.4+78.75+26.25+183.75+105+2648.52+183.75+131.25+131.25+3110.52+131.25+1539.72+66.15+78.75+831.6+105+2956.8+131.25+78.75+183.75+1724.52+131.25+105+2587.2+78.75+105+105+66.15+26.25+132.25+105+1539.72+2363.4+183.75+66.15+52.5+210+2371.32+831.6+131.25+157.5+2063.04+2217.6+26.25+183.75+26.25+183.75+131.25+157.5+157.5+105+336+336+336+336+336+336+336+336+336+336+52.5+183.75+831.6+157.5+2125.2+157.5+131.25+210+866.25+78.75+2402.4+78.75+52.5+183.75+183.75+66.15+2833.32+2802.24+50+25+25+100+78.75+2278.92+157.5+105+66.15+26.25+210+131.25+157.5+831.6+2679.6+105+2802.24+336+336</f>
        <v>128430.47000000003</v>
      </c>
      <c r="I27" s="13">
        <f>105+131.25+157.5+831.6+2679.6+105+2802.24+5745.35+11350.87+8104.74+11568.27+26.25+2094.12+78.75+52.5+183.75+831.6+52.5+105+78.75+1909.32+26.25+78.75+52.5+157.5+52.5+2556.12+105+1539.72+78.75+78.75+2925.72+157.5+2310+78.75+26.25+26.25+2000.88+336+336+336+336+336+336</f>
        <v>63261.15</v>
      </c>
      <c r="J27" s="5" t="s">
        <v>87</v>
      </c>
      <c r="K27" s="16" t="s">
        <v>146</v>
      </c>
      <c r="L27" s="16" t="s">
        <v>146</v>
      </c>
      <c r="M27" s="19" t="s">
        <v>423</v>
      </c>
      <c r="N27" s="19" t="s">
        <v>423</v>
      </c>
      <c r="O27" s="19" t="s">
        <v>423</v>
      </c>
      <c r="P27" s="19" t="s">
        <v>423</v>
      </c>
      <c r="Q27" s="19" t="s">
        <v>423</v>
      </c>
      <c r="R27" s="19" t="s">
        <v>423</v>
      </c>
      <c r="S27" s="19" t="s">
        <v>423</v>
      </c>
      <c r="T27" s="19" t="s">
        <v>423</v>
      </c>
      <c r="U27" s="19" t="s">
        <v>423</v>
      </c>
      <c r="V27" s="19" t="s">
        <v>423</v>
      </c>
      <c r="W27" s="19" t="s">
        <v>423</v>
      </c>
      <c r="X27" s="19" t="s">
        <v>423</v>
      </c>
      <c r="Y27" s="19" t="s">
        <v>423</v>
      </c>
      <c r="Z27" s="19" t="s">
        <v>423</v>
      </c>
      <c r="AA27" s="19" t="s">
        <v>423</v>
      </c>
      <c r="AB27" s="19" t="s">
        <v>423</v>
      </c>
      <c r="AC27" s="19" t="s">
        <v>423</v>
      </c>
      <c r="AD27" s="19" t="s">
        <v>423</v>
      </c>
      <c r="AE27" s="19" t="s">
        <v>423</v>
      </c>
      <c r="AF27" s="19" t="s">
        <v>423</v>
      </c>
      <c r="AG27" s="19" t="s">
        <v>423</v>
      </c>
      <c r="AH27" s="19" t="s">
        <v>423</v>
      </c>
      <c r="AI27" s="19" t="s">
        <v>423</v>
      </c>
      <c r="AJ27" s="19" t="s">
        <v>423</v>
      </c>
      <c r="AK27" s="19" t="s">
        <v>423</v>
      </c>
      <c r="AL27" s="19" t="s">
        <v>423</v>
      </c>
      <c r="AM27" s="19" t="s">
        <v>423</v>
      </c>
      <c r="AN27" s="19" t="s">
        <v>423</v>
      </c>
      <c r="AO27" s="19" t="s">
        <v>423</v>
      </c>
      <c r="AP27" s="19" t="s">
        <v>423</v>
      </c>
      <c r="AQ27" s="19" t="s">
        <v>423</v>
      </c>
      <c r="AR27" s="19" t="s">
        <v>423</v>
      </c>
      <c r="AS27" s="19" t="s">
        <v>423</v>
      </c>
      <c r="AT27" s="19" t="s">
        <v>423</v>
      </c>
      <c r="AU27" s="19" t="s">
        <v>423</v>
      </c>
      <c r="AV27" s="19" t="s">
        <v>423</v>
      </c>
      <c r="AW27" s="19" t="s">
        <v>423</v>
      </c>
      <c r="AX27" s="19" t="s">
        <v>423</v>
      </c>
      <c r="AY27" s="19" t="s">
        <v>423</v>
      </c>
      <c r="AZ27" s="19" t="s">
        <v>423</v>
      </c>
      <c r="BA27" s="19" t="s">
        <v>423</v>
      </c>
      <c r="BB27" s="19" t="s">
        <v>423</v>
      </c>
      <c r="BC27" s="19" t="s">
        <v>423</v>
      </c>
      <c r="BD27" s="19" t="s">
        <v>423</v>
      </c>
      <c r="BE27" s="19" t="s">
        <v>423</v>
      </c>
      <c r="BF27" s="19" t="s">
        <v>423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36" customHeight="1" x14ac:dyDescent="0.25">
      <c r="A28" s="22">
        <v>43745</v>
      </c>
      <c r="B28" s="21" t="s">
        <v>198</v>
      </c>
      <c r="C28" s="16" t="s">
        <v>147</v>
      </c>
      <c r="D28" s="16" t="s">
        <v>6</v>
      </c>
      <c r="E28" s="16" t="s">
        <v>80</v>
      </c>
      <c r="F28" s="21" t="s">
        <v>81</v>
      </c>
      <c r="G28" s="5" t="s">
        <v>206</v>
      </c>
      <c r="H28" s="24">
        <f>84933.2+84933.2+84933.2+84933.2+84933.2+84933.2+18642.85+88661.77+88661.77+88661.77+88661.77+26598.51+65018.58</f>
        <v>974506.22000000009</v>
      </c>
      <c r="I28" s="18">
        <v>0</v>
      </c>
      <c r="J28" s="5" t="s">
        <v>88</v>
      </c>
      <c r="K28" s="16" t="s">
        <v>155</v>
      </c>
      <c r="L28" s="16" t="s">
        <v>156</v>
      </c>
      <c r="M28" s="19" t="s">
        <v>423</v>
      </c>
      <c r="N28" s="19" t="s">
        <v>423</v>
      </c>
      <c r="O28" s="19" t="s">
        <v>423</v>
      </c>
      <c r="P28" s="19" t="s">
        <v>423</v>
      </c>
      <c r="Q28" s="19" t="s">
        <v>423</v>
      </c>
      <c r="R28" s="19" t="s">
        <v>423</v>
      </c>
      <c r="S28" s="19" t="s">
        <v>423</v>
      </c>
      <c r="T28" s="19" t="s">
        <v>423</v>
      </c>
      <c r="U28" s="19" t="s">
        <v>423</v>
      </c>
      <c r="V28" s="19" t="s">
        <v>423</v>
      </c>
      <c r="W28" s="19" t="s">
        <v>423</v>
      </c>
      <c r="X28" s="19" t="s">
        <v>423</v>
      </c>
      <c r="Y28" s="19" t="s">
        <v>423</v>
      </c>
      <c r="Z28" s="19" t="s">
        <v>423</v>
      </c>
      <c r="AA28" s="19" t="s">
        <v>423</v>
      </c>
      <c r="AB28" s="19" t="s">
        <v>423</v>
      </c>
      <c r="AC28" s="19" t="s">
        <v>423</v>
      </c>
      <c r="AD28" s="19" t="s">
        <v>423</v>
      </c>
      <c r="AE28" s="19" t="s">
        <v>423</v>
      </c>
      <c r="AF28" s="19" t="s">
        <v>423</v>
      </c>
      <c r="AG28" s="19" t="s">
        <v>423</v>
      </c>
      <c r="AH28" s="19" t="s">
        <v>423</v>
      </c>
      <c r="AI28" s="19" t="s">
        <v>423</v>
      </c>
      <c r="AJ28" s="19" t="s">
        <v>423</v>
      </c>
      <c r="AK28" s="19" t="s">
        <v>423</v>
      </c>
      <c r="AL28" s="19" t="s">
        <v>423</v>
      </c>
      <c r="AM28" s="19" t="s">
        <v>423</v>
      </c>
      <c r="AN28" s="19" t="s">
        <v>423</v>
      </c>
      <c r="AO28" s="19" t="s">
        <v>423</v>
      </c>
      <c r="AP28" s="19" t="s">
        <v>423</v>
      </c>
      <c r="AQ28" s="19" t="s">
        <v>423</v>
      </c>
      <c r="AR28" s="19" t="s">
        <v>423</v>
      </c>
      <c r="AS28" s="19" t="s">
        <v>423</v>
      </c>
      <c r="AT28" s="19" t="s">
        <v>423</v>
      </c>
      <c r="AU28" s="19" t="s">
        <v>423</v>
      </c>
      <c r="AV28" s="19" t="s">
        <v>423</v>
      </c>
      <c r="AW28" s="19" t="s">
        <v>423</v>
      </c>
      <c r="AX28" s="19" t="s">
        <v>423</v>
      </c>
      <c r="AY28" s="19" t="s">
        <v>423</v>
      </c>
      <c r="AZ28" s="19" t="s">
        <v>423</v>
      </c>
      <c r="BA28" s="19" t="s">
        <v>423</v>
      </c>
      <c r="BB28" s="19" t="s">
        <v>423</v>
      </c>
      <c r="BC28" s="19" t="s">
        <v>423</v>
      </c>
      <c r="BD28" s="19" t="s">
        <v>423</v>
      </c>
      <c r="BE28" s="19" t="s">
        <v>423</v>
      </c>
      <c r="BF28" s="19" t="s">
        <v>423</v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44.25" customHeight="1" x14ac:dyDescent="0.25">
      <c r="A29" s="22">
        <v>43769</v>
      </c>
      <c r="B29" s="21" t="s">
        <v>199</v>
      </c>
      <c r="C29" s="16" t="s">
        <v>166</v>
      </c>
      <c r="D29" s="16" t="s">
        <v>16</v>
      </c>
      <c r="E29" s="16" t="s">
        <v>82</v>
      </c>
      <c r="F29" s="21" t="s">
        <v>83</v>
      </c>
      <c r="G29" s="21" t="s">
        <v>83</v>
      </c>
      <c r="H29" s="24">
        <f>232065.82+262339.49+273985.77+274476.65+278021.59+27868.64+289359.25+80122.34+40932.07+286598.05+290341.01+50511.91+277728.73+34835.8+276954.76+41802.96+281443.81+27868.64+288350.25+50384.32</f>
        <v>3665991.86</v>
      </c>
      <c r="I29" s="13">
        <f>232362.98+318409.09+305125.89+294758.63+260458.65+261155.94</f>
        <v>1672271.18</v>
      </c>
      <c r="J29" s="5" t="s">
        <v>87</v>
      </c>
      <c r="K29" s="15" t="s">
        <v>335</v>
      </c>
      <c r="L29" s="15" t="s">
        <v>336</v>
      </c>
      <c r="M29" s="15" t="s">
        <v>337</v>
      </c>
      <c r="N29" s="15" t="s">
        <v>338</v>
      </c>
      <c r="O29" s="15" t="s">
        <v>339</v>
      </c>
      <c r="P29" s="15" t="s">
        <v>340</v>
      </c>
      <c r="Q29" s="15" t="s">
        <v>341</v>
      </c>
      <c r="R29" s="15" t="s">
        <v>342</v>
      </c>
      <c r="S29" s="15" t="s">
        <v>343</v>
      </c>
      <c r="T29" s="15" t="s">
        <v>344</v>
      </c>
      <c r="U29" s="15" t="s">
        <v>345</v>
      </c>
      <c r="V29" s="15" t="s">
        <v>346</v>
      </c>
      <c r="W29" s="15" t="s">
        <v>347</v>
      </c>
      <c r="X29" s="15" t="s">
        <v>348</v>
      </c>
      <c r="Y29" s="15" t="s">
        <v>349</v>
      </c>
      <c r="Z29" s="15" t="s">
        <v>350</v>
      </c>
      <c r="AA29" s="15" t="s">
        <v>166</v>
      </c>
      <c r="AB29" s="30" t="s">
        <v>351</v>
      </c>
      <c r="AC29" s="15" t="s">
        <v>352</v>
      </c>
      <c r="AD29" s="15" t="s">
        <v>353</v>
      </c>
      <c r="AE29" s="15" t="s">
        <v>354</v>
      </c>
      <c r="AF29" s="15" t="s">
        <v>355</v>
      </c>
      <c r="AG29" s="15" t="s">
        <v>356</v>
      </c>
      <c r="AH29" s="15" t="s">
        <v>357</v>
      </c>
      <c r="AI29" s="15" t="s">
        <v>358</v>
      </c>
      <c r="AJ29" s="15" t="s">
        <v>359</v>
      </c>
      <c r="AK29" s="15" t="s">
        <v>360</v>
      </c>
      <c r="AL29" s="15" t="s">
        <v>361</v>
      </c>
      <c r="AM29" s="15" t="s">
        <v>362</v>
      </c>
      <c r="AN29" s="15" t="s">
        <v>363</v>
      </c>
      <c r="AO29" s="15" t="s">
        <v>364</v>
      </c>
      <c r="AP29" s="15" t="s">
        <v>365</v>
      </c>
      <c r="AQ29" s="15" t="s">
        <v>366</v>
      </c>
      <c r="AR29" s="15" t="s">
        <v>367</v>
      </c>
      <c r="AS29" s="15" t="s">
        <v>368</v>
      </c>
      <c r="AT29" s="15" t="s">
        <v>369</v>
      </c>
      <c r="AU29" s="15" t="s">
        <v>370</v>
      </c>
      <c r="AV29" s="15" t="s">
        <v>371</v>
      </c>
      <c r="AW29" s="15" t="s">
        <v>372</v>
      </c>
      <c r="AX29" s="15" t="s">
        <v>373</v>
      </c>
      <c r="AY29" s="15" t="s">
        <v>374</v>
      </c>
      <c r="AZ29" s="15" t="s">
        <v>375</v>
      </c>
      <c r="BA29" s="15" t="s">
        <v>376</v>
      </c>
      <c r="BB29" s="15" t="s">
        <v>377</v>
      </c>
      <c r="BC29" s="15" t="s">
        <v>378</v>
      </c>
      <c r="BD29" s="15" t="s">
        <v>379</v>
      </c>
      <c r="BE29" s="15" t="s">
        <v>380</v>
      </c>
      <c r="BF29" s="15" t="s">
        <v>381</v>
      </c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9.75" customHeight="1" x14ac:dyDescent="0.25">
      <c r="A30" s="22">
        <v>43773</v>
      </c>
      <c r="B30" s="21" t="s">
        <v>200</v>
      </c>
      <c r="C30" s="16" t="s">
        <v>148</v>
      </c>
      <c r="D30" s="16" t="s">
        <v>9</v>
      </c>
      <c r="E30" s="16" t="s">
        <v>84</v>
      </c>
      <c r="F30" s="21" t="s">
        <v>85</v>
      </c>
      <c r="G30" s="5" t="s">
        <v>204</v>
      </c>
      <c r="H30" s="24">
        <f>1981.53+2053.46+2053.46+2053.46+2053.46+2053.46+2053.46+2053.46+2053.46+2053.46+2053.46+2053.46</f>
        <v>24569.589999999993</v>
      </c>
      <c r="I30" s="13">
        <f>2053.46*6</f>
        <v>12320.76</v>
      </c>
      <c r="J30" s="5" t="s">
        <v>87</v>
      </c>
      <c r="K30" s="16" t="s">
        <v>149</v>
      </c>
      <c r="L30" s="16" t="s">
        <v>150</v>
      </c>
      <c r="M30" s="16" t="s">
        <v>151</v>
      </c>
      <c r="N30" s="16" t="s">
        <v>152</v>
      </c>
      <c r="O30" s="16" t="s">
        <v>153</v>
      </c>
      <c r="P30" s="16" t="s">
        <v>154</v>
      </c>
      <c r="Q30" s="19" t="s">
        <v>423</v>
      </c>
      <c r="R30" s="19" t="s">
        <v>423</v>
      </c>
      <c r="S30" s="19" t="s">
        <v>423</v>
      </c>
      <c r="T30" s="19" t="s">
        <v>423</v>
      </c>
      <c r="U30" s="19" t="s">
        <v>423</v>
      </c>
      <c r="V30" s="19" t="s">
        <v>423</v>
      </c>
      <c r="W30" s="19" t="s">
        <v>423</v>
      </c>
      <c r="X30" s="19" t="s">
        <v>423</v>
      </c>
      <c r="Y30" s="19" t="s">
        <v>423</v>
      </c>
      <c r="Z30" s="19" t="s">
        <v>423</v>
      </c>
      <c r="AA30" s="19" t="s">
        <v>423</v>
      </c>
      <c r="AB30" s="19" t="s">
        <v>423</v>
      </c>
      <c r="AC30" s="19" t="s">
        <v>423</v>
      </c>
      <c r="AD30" s="19" t="s">
        <v>423</v>
      </c>
      <c r="AE30" s="19" t="s">
        <v>423</v>
      </c>
      <c r="AF30" s="19" t="s">
        <v>423</v>
      </c>
      <c r="AG30" s="19" t="s">
        <v>423</v>
      </c>
      <c r="AH30" s="19" t="s">
        <v>423</v>
      </c>
      <c r="AI30" s="19" t="s">
        <v>423</v>
      </c>
      <c r="AJ30" s="19" t="s">
        <v>423</v>
      </c>
      <c r="AK30" s="19" t="s">
        <v>423</v>
      </c>
      <c r="AL30" s="19" t="s">
        <v>423</v>
      </c>
      <c r="AM30" s="19" t="s">
        <v>423</v>
      </c>
      <c r="AN30" s="19" t="s">
        <v>423</v>
      </c>
      <c r="AO30" s="19" t="s">
        <v>423</v>
      </c>
      <c r="AP30" s="19" t="s">
        <v>423</v>
      </c>
      <c r="AQ30" s="19" t="s">
        <v>423</v>
      </c>
      <c r="AR30" s="19" t="s">
        <v>423</v>
      </c>
      <c r="AS30" s="19" t="s">
        <v>423</v>
      </c>
      <c r="AT30" s="19" t="s">
        <v>423</v>
      </c>
      <c r="AU30" s="19" t="s">
        <v>423</v>
      </c>
      <c r="AV30" s="19" t="s">
        <v>423</v>
      </c>
      <c r="AW30" s="19" t="s">
        <v>423</v>
      </c>
      <c r="AX30" s="19" t="s">
        <v>423</v>
      </c>
      <c r="AY30" s="19" t="s">
        <v>423</v>
      </c>
      <c r="AZ30" s="19" t="s">
        <v>423</v>
      </c>
      <c r="BA30" s="19" t="s">
        <v>423</v>
      </c>
      <c r="BB30" s="19" t="s">
        <v>423</v>
      </c>
      <c r="BC30" s="19" t="s">
        <v>423</v>
      </c>
      <c r="BD30" s="19" t="s">
        <v>423</v>
      </c>
      <c r="BE30" s="19" t="s">
        <v>423</v>
      </c>
      <c r="BF30" s="19" t="s">
        <v>423</v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47.25" customHeight="1" x14ac:dyDescent="0.25">
      <c r="A31" s="14">
        <v>43805</v>
      </c>
      <c r="B31" s="5" t="s">
        <v>421</v>
      </c>
      <c r="C31" s="4" t="s">
        <v>220</v>
      </c>
      <c r="D31" s="4" t="s">
        <v>49</v>
      </c>
      <c r="E31" s="4" t="s">
        <v>50</v>
      </c>
      <c r="F31" s="19" t="s">
        <v>423</v>
      </c>
      <c r="G31" s="5" t="s">
        <v>221</v>
      </c>
      <c r="H31" s="18">
        <v>0</v>
      </c>
      <c r="I31" s="13">
        <f>10356.78+24394.03+9998.52+11390.69</f>
        <v>56140.020000000004</v>
      </c>
      <c r="J31" s="5" t="s">
        <v>87</v>
      </c>
      <c r="K31" s="5" t="s">
        <v>435</v>
      </c>
      <c r="L31" s="29" t="s">
        <v>382</v>
      </c>
      <c r="M31" s="4" t="s">
        <v>383</v>
      </c>
      <c r="N31" s="4" t="s">
        <v>384</v>
      </c>
      <c r="O31" s="4" t="s">
        <v>385</v>
      </c>
      <c r="P31" s="4" t="s">
        <v>386</v>
      </c>
      <c r="Q31" s="4" t="s">
        <v>387</v>
      </c>
      <c r="R31" s="4" t="s">
        <v>388</v>
      </c>
      <c r="S31" s="4" t="s">
        <v>434</v>
      </c>
      <c r="T31" s="29" t="s">
        <v>389</v>
      </c>
      <c r="U31" s="4" t="s">
        <v>390</v>
      </c>
      <c r="V31" s="4" t="s">
        <v>391</v>
      </c>
      <c r="W31" s="4" t="s">
        <v>392</v>
      </c>
      <c r="X31" s="4" t="s">
        <v>393</v>
      </c>
      <c r="Y31" s="19" t="s">
        <v>423</v>
      </c>
      <c r="Z31" s="19" t="s">
        <v>423</v>
      </c>
      <c r="AA31" s="19" t="s">
        <v>423</v>
      </c>
      <c r="AB31" s="19" t="s">
        <v>423</v>
      </c>
      <c r="AC31" s="19" t="s">
        <v>423</v>
      </c>
      <c r="AD31" s="19" t="s">
        <v>423</v>
      </c>
      <c r="AE31" s="19" t="s">
        <v>423</v>
      </c>
      <c r="AF31" s="19" t="s">
        <v>423</v>
      </c>
      <c r="AG31" s="19" t="s">
        <v>423</v>
      </c>
      <c r="AH31" s="19" t="s">
        <v>423</v>
      </c>
      <c r="AI31" s="19" t="s">
        <v>423</v>
      </c>
      <c r="AJ31" s="19" t="s">
        <v>423</v>
      </c>
      <c r="AK31" s="19" t="s">
        <v>423</v>
      </c>
      <c r="AL31" s="19" t="s">
        <v>423</v>
      </c>
      <c r="AM31" s="19" t="s">
        <v>423</v>
      </c>
      <c r="AN31" s="19" t="s">
        <v>423</v>
      </c>
      <c r="AO31" s="19" t="s">
        <v>423</v>
      </c>
      <c r="AP31" s="19" t="s">
        <v>423</v>
      </c>
      <c r="AQ31" s="19" t="s">
        <v>423</v>
      </c>
      <c r="AR31" s="19" t="s">
        <v>423</v>
      </c>
      <c r="AS31" s="19" t="s">
        <v>423</v>
      </c>
      <c r="AT31" s="19" t="s">
        <v>423</v>
      </c>
      <c r="AU31" s="19" t="s">
        <v>423</v>
      </c>
      <c r="AV31" s="19" t="s">
        <v>423</v>
      </c>
      <c r="AW31" s="19" t="s">
        <v>423</v>
      </c>
      <c r="AX31" s="19" t="s">
        <v>423</v>
      </c>
      <c r="AY31" s="19" t="s">
        <v>423</v>
      </c>
      <c r="AZ31" s="19" t="s">
        <v>423</v>
      </c>
      <c r="BA31" s="19" t="s">
        <v>423</v>
      </c>
      <c r="BB31" s="19" t="s">
        <v>423</v>
      </c>
      <c r="BC31" s="19" t="s">
        <v>423</v>
      </c>
      <c r="BD31" s="19" t="s">
        <v>423</v>
      </c>
      <c r="BE31" s="19" t="s">
        <v>423</v>
      </c>
      <c r="BF31" s="19" t="s">
        <v>423</v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2" ht="42.75" customHeight="1" x14ac:dyDescent="0.25">
      <c r="A32" s="14">
        <v>43858</v>
      </c>
      <c r="B32" s="5" t="s">
        <v>420</v>
      </c>
      <c r="C32" s="4" t="s">
        <v>222</v>
      </c>
      <c r="D32" s="4" t="s">
        <v>223</v>
      </c>
      <c r="E32" s="4" t="s">
        <v>224</v>
      </c>
      <c r="F32" s="19" t="s">
        <v>423</v>
      </c>
      <c r="G32" s="5" t="s">
        <v>225</v>
      </c>
      <c r="H32" s="18">
        <v>0</v>
      </c>
      <c r="I32" s="13">
        <f>84274.66+88208.96+88208.96</f>
        <v>260692.58000000002</v>
      </c>
      <c r="J32" s="5" t="s">
        <v>87</v>
      </c>
      <c r="K32" s="4" t="s">
        <v>226</v>
      </c>
      <c r="L32" s="4" t="s">
        <v>227</v>
      </c>
      <c r="M32" s="4" t="s">
        <v>228</v>
      </c>
      <c r="N32" s="4" t="s">
        <v>229</v>
      </c>
      <c r="O32" s="19" t="s">
        <v>423</v>
      </c>
      <c r="P32" s="19" t="s">
        <v>423</v>
      </c>
      <c r="Q32" s="19" t="s">
        <v>423</v>
      </c>
      <c r="R32" s="19" t="s">
        <v>423</v>
      </c>
      <c r="S32" s="19" t="s">
        <v>423</v>
      </c>
      <c r="T32" s="19" t="s">
        <v>423</v>
      </c>
      <c r="U32" s="19" t="s">
        <v>423</v>
      </c>
      <c r="V32" s="19" t="s">
        <v>423</v>
      </c>
      <c r="W32" s="19" t="s">
        <v>423</v>
      </c>
      <c r="X32" s="19" t="s">
        <v>423</v>
      </c>
      <c r="Y32" s="19" t="s">
        <v>423</v>
      </c>
      <c r="Z32" s="19" t="s">
        <v>423</v>
      </c>
      <c r="AA32" s="19" t="s">
        <v>423</v>
      </c>
      <c r="AB32" s="19" t="s">
        <v>423</v>
      </c>
      <c r="AC32" s="19" t="s">
        <v>423</v>
      </c>
      <c r="AD32" s="19" t="s">
        <v>423</v>
      </c>
      <c r="AE32" s="19" t="s">
        <v>423</v>
      </c>
      <c r="AF32" s="19" t="s">
        <v>423</v>
      </c>
      <c r="AG32" s="19" t="s">
        <v>423</v>
      </c>
      <c r="AH32" s="19" t="s">
        <v>423</v>
      </c>
      <c r="AI32" s="19" t="s">
        <v>423</v>
      </c>
      <c r="AJ32" s="19" t="s">
        <v>423</v>
      </c>
      <c r="AK32" s="19" t="s">
        <v>423</v>
      </c>
      <c r="AL32" s="19" t="s">
        <v>423</v>
      </c>
      <c r="AM32" s="19" t="s">
        <v>423</v>
      </c>
      <c r="AN32" s="19" t="s">
        <v>423</v>
      </c>
      <c r="AO32" s="19" t="s">
        <v>423</v>
      </c>
      <c r="AP32" s="19" t="s">
        <v>423</v>
      </c>
      <c r="AQ32" s="19" t="s">
        <v>423</v>
      </c>
      <c r="AR32" s="19" t="s">
        <v>423</v>
      </c>
      <c r="AS32" s="19" t="s">
        <v>423</v>
      </c>
      <c r="AT32" s="19" t="s">
        <v>423</v>
      </c>
      <c r="AU32" s="19" t="s">
        <v>423</v>
      </c>
      <c r="AV32" s="19" t="s">
        <v>423</v>
      </c>
      <c r="AW32" s="19" t="s">
        <v>423</v>
      </c>
      <c r="AX32" s="19" t="s">
        <v>423</v>
      </c>
      <c r="AY32" s="19" t="s">
        <v>423</v>
      </c>
      <c r="AZ32" s="19" t="s">
        <v>423</v>
      </c>
      <c r="BA32" s="19" t="s">
        <v>423</v>
      </c>
      <c r="BB32" s="19" t="s">
        <v>423</v>
      </c>
      <c r="BC32" s="19" t="s">
        <v>423</v>
      </c>
      <c r="BD32" s="19" t="s">
        <v>423</v>
      </c>
      <c r="BE32" s="19" t="s">
        <v>423</v>
      </c>
      <c r="BF32" s="19" t="s">
        <v>423</v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61.5" customHeight="1" x14ac:dyDescent="0.25">
      <c r="A33" s="14">
        <v>43916</v>
      </c>
      <c r="B33" s="5" t="s">
        <v>419</v>
      </c>
      <c r="C33" s="4" t="s">
        <v>230</v>
      </c>
      <c r="D33" s="4" t="s">
        <v>231</v>
      </c>
      <c r="E33" s="4" t="s">
        <v>232</v>
      </c>
      <c r="F33" s="19" t="s">
        <v>423</v>
      </c>
      <c r="G33" s="5" t="s">
        <v>233</v>
      </c>
      <c r="H33" s="18">
        <v>0</v>
      </c>
      <c r="I33" s="13">
        <f>35200</f>
        <v>35200</v>
      </c>
      <c r="J33" s="5" t="s">
        <v>87</v>
      </c>
      <c r="K33" s="4" t="s">
        <v>234</v>
      </c>
      <c r="L33" s="4" t="s">
        <v>235</v>
      </c>
      <c r="M33" s="19" t="s">
        <v>423</v>
      </c>
      <c r="N33" s="19" t="s">
        <v>423</v>
      </c>
      <c r="O33" s="19" t="s">
        <v>423</v>
      </c>
      <c r="P33" s="19" t="s">
        <v>423</v>
      </c>
      <c r="Q33" s="19" t="s">
        <v>423</v>
      </c>
      <c r="R33" s="19" t="s">
        <v>423</v>
      </c>
      <c r="S33" s="19" t="s">
        <v>423</v>
      </c>
      <c r="T33" s="19" t="s">
        <v>423</v>
      </c>
      <c r="U33" s="19" t="s">
        <v>423</v>
      </c>
      <c r="V33" s="19" t="s">
        <v>423</v>
      </c>
      <c r="W33" s="19" t="s">
        <v>423</v>
      </c>
      <c r="X33" s="19" t="s">
        <v>423</v>
      </c>
      <c r="Y33" s="19" t="s">
        <v>423</v>
      </c>
      <c r="Z33" s="19" t="s">
        <v>423</v>
      </c>
      <c r="AA33" s="19" t="s">
        <v>423</v>
      </c>
      <c r="AB33" s="19" t="s">
        <v>423</v>
      </c>
      <c r="AC33" s="19" t="s">
        <v>423</v>
      </c>
      <c r="AD33" s="19" t="s">
        <v>423</v>
      </c>
      <c r="AE33" s="19" t="s">
        <v>423</v>
      </c>
      <c r="AF33" s="19" t="s">
        <v>423</v>
      </c>
      <c r="AG33" s="19" t="s">
        <v>423</v>
      </c>
      <c r="AH33" s="19" t="s">
        <v>423</v>
      </c>
      <c r="AI33" s="19" t="s">
        <v>423</v>
      </c>
      <c r="AJ33" s="19" t="s">
        <v>423</v>
      </c>
      <c r="AK33" s="19" t="s">
        <v>423</v>
      </c>
      <c r="AL33" s="19" t="s">
        <v>423</v>
      </c>
      <c r="AM33" s="19" t="s">
        <v>423</v>
      </c>
      <c r="AN33" s="19" t="s">
        <v>423</v>
      </c>
      <c r="AO33" s="19" t="s">
        <v>423</v>
      </c>
      <c r="AP33" s="19" t="s">
        <v>423</v>
      </c>
      <c r="AQ33" s="19" t="s">
        <v>423</v>
      </c>
      <c r="AR33" s="19" t="s">
        <v>423</v>
      </c>
      <c r="AS33" s="19" t="s">
        <v>423</v>
      </c>
      <c r="AT33" s="19" t="s">
        <v>423</v>
      </c>
      <c r="AU33" s="19" t="s">
        <v>423</v>
      </c>
      <c r="AV33" s="19" t="s">
        <v>423</v>
      </c>
      <c r="AW33" s="19" t="s">
        <v>423</v>
      </c>
      <c r="AX33" s="19" t="s">
        <v>423</v>
      </c>
      <c r="AY33" s="19" t="s">
        <v>423</v>
      </c>
      <c r="AZ33" s="19" t="s">
        <v>423</v>
      </c>
      <c r="BA33" s="19" t="s">
        <v>423</v>
      </c>
      <c r="BB33" s="19" t="s">
        <v>423</v>
      </c>
      <c r="BC33" s="19" t="s">
        <v>423</v>
      </c>
      <c r="BD33" s="19" t="s">
        <v>423</v>
      </c>
      <c r="BE33" s="19" t="s">
        <v>423</v>
      </c>
      <c r="BF33" s="19" t="s">
        <v>423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33.75" x14ac:dyDescent="0.25">
      <c r="A34" s="14">
        <v>43403</v>
      </c>
      <c r="B34" s="5" t="s">
        <v>418</v>
      </c>
      <c r="C34" s="4" t="s">
        <v>236</v>
      </c>
      <c r="D34" s="4" t="s">
        <v>237</v>
      </c>
      <c r="E34" s="4" t="s">
        <v>238</v>
      </c>
      <c r="F34" s="5" t="s">
        <v>239</v>
      </c>
      <c r="G34" s="5"/>
      <c r="H34" s="18">
        <v>130348.2</v>
      </c>
      <c r="I34" s="13">
        <f>0</f>
        <v>0</v>
      </c>
      <c r="J34" s="5" t="s">
        <v>88</v>
      </c>
      <c r="K34" s="5" t="s">
        <v>436</v>
      </c>
      <c r="L34" s="29" t="s">
        <v>394</v>
      </c>
      <c r="M34" s="4" t="s">
        <v>437</v>
      </c>
      <c r="N34" s="29" t="s">
        <v>395</v>
      </c>
      <c r="O34" s="4" t="s">
        <v>396</v>
      </c>
      <c r="P34" s="4" t="s">
        <v>397</v>
      </c>
      <c r="Q34" s="4" t="s">
        <v>398</v>
      </c>
      <c r="R34" s="4" t="s">
        <v>399</v>
      </c>
      <c r="S34" s="4" t="s">
        <v>400</v>
      </c>
      <c r="T34" s="4" t="s">
        <v>401</v>
      </c>
      <c r="U34" s="4" t="s">
        <v>402</v>
      </c>
      <c r="V34" s="4" t="s">
        <v>403</v>
      </c>
      <c r="W34" s="4" t="s">
        <v>404</v>
      </c>
      <c r="X34" s="4" t="s">
        <v>405</v>
      </c>
      <c r="Y34" s="19" t="s">
        <v>423</v>
      </c>
      <c r="Z34" s="19" t="s">
        <v>423</v>
      </c>
      <c r="AA34" s="19" t="s">
        <v>423</v>
      </c>
      <c r="AB34" s="19" t="s">
        <v>423</v>
      </c>
      <c r="AC34" s="19" t="s">
        <v>423</v>
      </c>
      <c r="AD34" s="19" t="s">
        <v>423</v>
      </c>
      <c r="AE34" s="19" t="s">
        <v>423</v>
      </c>
      <c r="AF34" s="19" t="s">
        <v>423</v>
      </c>
      <c r="AG34" s="19" t="s">
        <v>423</v>
      </c>
      <c r="AH34" s="19" t="s">
        <v>423</v>
      </c>
      <c r="AI34" s="19" t="s">
        <v>423</v>
      </c>
      <c r="AJ34" s="19" t="s">
        <v>423</v>
      </c>
      <c r="AK34" s="19" t="s">
        <v>423</v>
      </c>
      <c r="AL34" s="19" t="s">
        <v>423</v>
      </c>
      <c r="AM34" s="19" t="s">
        <v>423</v>
      </c>
      <c r="AN34" s="19" t="s">
        <v>423</v>
      </c>
      <c r="AO34" s="19" t="s">
        <v>423</v>
      </c>
      <c r="AP34" s="19" t="s">
        <v>423</v>
      </c>
      <c r="AQ34" s="19" t="s">
        <v>423</v>
      </c>
      <c r="AR34" s="19" t="s">
        <v>423</v>
      </c>
      <c r="AS34" s="19" t="s">
        <v>423</v>
      </c>
      <c r="AT34" s="19" t="s">
        <v>423</v>
      </c>
      <c r="AU34" s="19" t="s">
        <v>423</v>
      </c>
      <c r="AV34" s="19" t="s">
        <v>423</v>
      </c>
      <c r="AW34" s="19" t="s">
        <v>423</v>
      </c>
      <c r="AX34" s="19" t="s">
        <v>423</v>
      </c>
      <c r="AY34" s="19" t="s">
        <v>423</v>
      </c>
      <c r="AZ34" s="19" t="s">
        <v>423</v>
      </c>
      <c r="BA34" s="19" t="s">
        <v>423</v>
      </c>
      <c r="BB34" s="19" t="s">
        <v>423</v>
      </c>
      <c r="BC34" s="19" t="s">
        <v>423</v>
      </c>
      <c r="BD34" s="19" t="s">
        <v>423</v>
      </c>
      <c r="BE34" s="19" t="s">
        <v>423</v>
      </c>
      <c r="BF34" s="19" t="s">
        <v>423</v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</row>
  </sheetData>
  <autoFilter ref="A3:AH72"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sortState ref="A10:AH10">
      <sortCondition ref="D3:D84"/>
    </sortState>
  </autoFilter>
  <mergeCells count="35">
    <mergeCell ref="A2:E2"/>
    <mergeCell ref="AY3:AZ3"/>
    <mergeCell ref="BA3:BB3"/>
    <mergeCell ref="BC3:BD3"/>
    <mergeCell ref="BE3:B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Y3:Z3"/>
    <mergeCell ref="AA3:AB3"/>
    <mergeCell ref="AC3:AD3"/>
    <mergeCell ref="AE3:AF3"/>
    <mergeCell ref="K3:L3"/>
    <mergeCell ref="S3:T3"/>
    <mergeCell ref="U3:V3"/>
    <mergeCell ref="W3:X3"/>
    <mergeCell ref="F3:F4"/>
    <mergeCell ref="G3:G4"/>
    <mergeCell ref="M3:N3"/>
    <mergeCell ref="O3:P3"/>
    <mergeCell ref="Q3:R3"/>
    <mergeCell ref="H3:H4"/>
    <mergeCell ref="I3:I4"/>
    <mergeCell ref="J3:J4"/>
    <mergeCell ref="A3:A4"/>
    <mergeCell ref="B3:B4"/>
    <mergeCell ref="C3:C4"/>
    <mergeCell ref="D3:D4"/>
    <mergeCell ref="E3:E4"/>
  </mergeCells>
  <pageMargins left="0.19685039370078741" right="0.19685039370078741" top="1.028125" bottom="1.05" header="0.31496062992125984" footer="0.31496062992125984"/>
  <pageSetup paperSize="9" scale="70" orientation="landscape" horizontalDpi="300" verticalDpi="300" r:id="rId1"/>
  <headerFooter>
    <oddHeader>&amp;L&amp;G</oddHeader>
    <oddFooter>&amp;CRua Galileu Galilei, 1800 - Sala 605 – Condomínio Itamaraty - 14024-193 – Ribeirão Preto/SP
CNPJ/MF 57.722.118/0005-74 - Fone: (16) 3505-8197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2020-08-10T13:39:15Z</dcterms:modified>
</cp:coreProperties>
</file>