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2915" activeTab="2"/>
  </bookViews>
  <sheets>
    <sheet name="PRIMARIO" sheetId="2" r:id="rId1"/>
    <sheet name="RR" sheetId="3" r:id="rId2"/>
    <sheet name="inciso" sheetId="5" r:id="rId3"/>
    <sheet name="Planilha1" sheetId="6" r:id="rId4"/>
  </sheets>
  <definedNames>
    <definedName name="_xlnm._FilterDatabase" localSheetId="2" hidden="1">inciso!$A$5:$CD$43</definedName>
  </definedNames>
  <calcPr calcId="162913"/>
</workbook>
</file>

<file path=xl/calcChain.xml><?xml version="1.0" encoding="utf-8"?>
<calcChain xmlns="http://schemas.openxmlformats.org/spreadsheetml/2006/main">
  <c r="I27" i="5" l="1"/>
  <c r="I7" i="5"/>
  <c r="H7" i="5"/>
  <c r="H32" i="5"/>
  <c r="H31" i="5"/>
  <c r="H27" i="5" l="1"/>
  <c r="H39" i="5" l="1"/>
  <c r="H25" i="5"/>
  <c r="H24" i="5"/>
  <c r="H42" i="5"/>
  <c r="I38" i="5" l="1"/>
  <c r="H38" i="5"/>
  <c r="I12" i="5"/>
  <c r="H23" i="5" l="1"/>
  <c r="H26" i="5"/>
  <c r="H28" i="5"/>
  <c r="H36" i="5"/>
  <c r="H29" i="5"/>
  <c r="H37" i="5"/>
  <c r="H41" i="5"/>
  <c r="I42" i="5"/>
  <c r="I32" i="5"/>
  <c r="I10" i="5"/>
  <c r="I8" i="5"/>
  <c r="I25" i="5"/>
  <c r="I11" i="5"/>
  <c r="I24" i="5"/>
  <c r="I31" i="5"/>
  <c r="I23" i="5"/>
  <c r="I36" i="5"/>
  <c r="I21" i="5"/>
  <c r="I29" i="5"/>
  <c r="I28" i="5"/>
  <c r="I16" i="5"/>
  <c r="I17" i="5"/>
  <c r="I18" i="5"/>
  <c r="I19" i="5"/>
  <c r="I20" i="5"/>
  <c r="I40" i="5"/>
  <c r="I22" i="5"/>
  <c r="I15" i="5"/>
  <c r="I14" i="5"/>
  <c r="I39" i="5"/>
  <c r="I30" i="5"/>
  <c r="I35" i="5"/>
  <c r="I26" i="5"/>
  <c r="I33" i="5"/>
  <c r="I34" i="5"/>
  <c r="I13" i="5"/>
  <c r="I37" i="5"/>
  <c r="H14" i="6" l="1"/>
  <c r="H11" i="6"/>
  <c r="H9" i="6"/>
  <c r="H7" i="6"/>
  <c r="H6" i="6"/>
  <c r="H27" i="6"/>
  <c r="H26" i="6"/>
  <c r="H23" i="6"/>
  <c r="H21" i="6"/>
  <c r="H19" i="6"/>
  <c r="H18" i="6"/>
  <c r="H16" i="6"/>
  <c r="H10" i="6"/>
  <c r="H8" i="6"/>
  <c r="H4" i="6"/>
  <c r="H2" i="6"/>
  <c r="H13" i="6"/>
  <c r="H15" i="6"/>
  <c r="H12" i="6"/>
  <c r="H28" i="6"/>
  <c r="H25" i="6"/>
  <c r="H24" i="6"/>
  <c r="H22" i="6"/>
  <c r="H20" i="6"/>
  <c r="H17" i="6"/>
</calcChain>
</file>

<file path=xl/sharedStrings.xml><?xml version="1.0" encoding="utf-8"?>
<sst xmlns="http://schemas.openxmlformats.org/spreadsheetml/2006/main" count="3290" uniqueCount="607">
  <si>
    <t>Objeto</t>
  </si>
  <si>
    <t>Status do Contrato</t>
  </si>
  <si>
    <t>NÚMERO DO AJUSTE</t>
  </si>
  <si>
    <t>DATA</t>
  </si>
  <si>
    <t>CONTRATADO</t>
  </si>
  <si>
    <t>OBJETO</t>
  </si>
  <si>
    <t>VALOR</t>
  </si>
  <si>
    <t>MODALIDADE DA LICITAÇÃO</t>
  </si>
  <si>
    <t>PRAZO</t>
  </si>
  <si>
    <t>FONTE</t>
  </si>
  <si>
    <t>CONDIÇÃO DE PAGAMENTO</t>
  </si>
  <si>
    <t>ESTADUAL</t>
  </si>
  <si>
    <t>AIR LIQUIDE BRASIL LTDA</t>
  </si>
  <si>
    <t>30 DIAS CONSECUTIVOS, CONTADOS DA DATA DO RECEBIMENTO DAS NOTAS FISCAIS</t>
  </si>
  <si>
    <t>JM GONÇALVES ENTREGA DE DOCUMENTOS-ME</t>
  </si>
  <si>
    <t>07 DIAS A CONTAR DA DATA DA APRESENTAÇÃO DA NOTA FISCAL/FATURA</t>
  </si>
  <si>
    <t>CAMPIONI ENGENHARIA EIRELI-ME</t>
  </si>
  <si>
    <t>10 DIAS APÓS O RECEBIMENTO DA NF</t>
  </si>
  <si>
    <t>UNIDADE DE ANATOMIA PAT CIT PROF. DR HUMBERTO QUEIROZ MENEZES SC LTDA</t>
  </si>
  <si>
    <t>10 (DEZ) DIAS CONTADOS DA DATA DA APRESENTAÇÃO DA NOTA FISCAL</t>
  </si>
  <si>
    <t>DIVERSA PEST CONTROL LTDA. ME</t>
  </si>
  <si>
    <t>JEFERSON XIMENES ALVES RADIOLOGIA - ME</t>
  </si>
  <si>
    <r>
      <t>6</t>
    </r>
    <r>
      <rPr>
        <sz val="8"/>
        <color indexed="8"/>
        <rFont val="Arial"/>
        <family val="2"/>
      </rPr>
      <t xml:space="preserve"> / </t>
    </r>
    <r>
      <rPr>
        <sz val="8"/>
        <color indexed="8"/>
        <rFont val="Arial"/>
        <family val="2"/>
      </rPr>
      <t xml:space="preserve">2019
</t>
    </r>
    <r>
      <rPr>
        <sz val="8"/>
        <color indexed="8"/>
        <rFont val="Arial"/>
        <family val="2"/>
      </rPr>
      <t>MATER</t>
    </r>
  </si>
  <si>
    <t>MEDCONTROL COMERCIO DE MATERIAIS HOSPITALARES LTDA</t>
  </si>
  <si>
    <t>FORNECIMENTO DE INDICADORES BIOLÓGICOS, COM CESSÃO EM COMODATO DE 01 (UMA) INCUBADORA COM IMPRESSORA VISANDO O ATENDIMENTO DOS PACIENTES DO CENTRO DE REFERÊNCIA DA SAÚDE DA MULHER DE RIBEIRÃO PRETO - MATER.</t>
  </si>
  <si>
    <r>
      <t>DISPENSA</t>
    </r>
    <r>
      <rPr>
        <sz val="8"/>
        <color indexed="8"/>
        <rFont val="Arial"/>
        <family val="2"/>
      </rPr>
      <t xml:space="preserve"> </t>
    </r>
    <r>
      <rPr>
        <sz val="8"/>
        <color indexed="8"/>
        <rFont val="Arial"/>
        <family val="2"/>
      </rPr>
      <t xml:space="preserve"> </t>
    </r>
    <r>
      <rPr>
        <sz val="8"/>
        <color indexed="8"/>
        <rFont val="Arial"/>
        <family val="2"/>
      </rPr>
      <t>INCISO I DO ARTIGO 23 C/C COM O INCISO II DO ARTIGO 7º DO REGULAMENTO DE LICITAÇÃO E CONTRATOS DA FAEPA</t>
    </r>
  </si>
  <si>
    <t>12 MESES, a contar de 21/01/2019</t>
  </si>
  <si>
    <t>30 DIAS, APÓS O RECEBIMENTO E CONFERÊNCIA DA NOTA FISCAL/FATURA</t>
  </si>
  <si>
    <r>
      <t>11</t>
    </r>
    <r>
      <rPr>
        <sz val="8"/>
        <color indexed="8"/>
        <rFont val="Arial"/>
        <family val="2"/>
      </rPr>
      <t xml:space="preserve"> / </t>
    </r>
    <r>
      <rPr>
        <sz val="8"/>
        <color indexed="8"/>
        <rFont val="Arial"/>
        <family val="2"/>
      </rPr>
      <t xml:space="preserve">2019
</t>
    </r>
    <r>
      <rPr>
        <sz val="8"/>
        <color indexed="8"/>
        <rFont val="Arial"/>
        <family val="2"/>
      </rPr>
      <t>MATER</t>
    </r>
  </si>
  <si>
    <t>FUNDACAO HEMOCENTRO DE RIBEIRAO PRETO FUNDHERP</t>
  </si>
  <si>
    <t>PRESTAÇÃO DE SERVIÇOS DE REALIZAÇÃO DE EXAMES LABORATORIAIS PARA O CRSMRP-MATER</t>
  </si>
  <si>
    <r>
      <t>DISPENSA</t>
    </r>
    <r>
      <rPr>
        <sz val="8"/>
        <color indexed="8"/>
        <rFont val="Arial"/>
        <family val="2"/>
      </rPr>
      <t xml:space="preserve"> </t>
    </r>
    <r>
      <rPr>
        <sz val="8"/>
        <color indexed="8"/>
        <rFont val="Arial"/>
        <family val="2"/>
      </rPr>
      <t xml:space="preserve"> </t>
    </r>
    <r>
      <rPr>
        <sz val="8"/>
        <color indexed="8"/>
        <rFont val="Arial"/>
        <family val="2"/>
      </rPr>
      <t>ARTIGO 23, X DO RLC</t>
    </r>
  </si>
  <si>
    <t>12 MESES, a contar de 16/01/2019</t>
  </si>
  <si>
    <t>30 DIAS CONTADOS DA DATA DE EMISSÃO DA NF</t>
  </si>
  <si>
    <r>
      <t>122</t>
    </r>
    <r>
      <rPr>
        <sz val="8"/>
        <color indexed="8"/>
        <rFont val="Arial"/>
        <family val="2"/>
      </rPr>
      <t xml:space="preserve"> / </t>
    </r>
    <r>
      <rPr>
        <sz val="8"/>
        <color indexed="8"/>
        <rFont val="Arial"/>
        <family val="2"/>
      </rPr>
      <t xml:space="preserve">2019
</t>
    </r>
    <r>
      <rPr>
        <sz val="8"/>
        <color indexed="8"/>
        <rFont val="Arial"/>
        <family val="2"/>
      </rPr>
      <t>MATER</t>
    </r>
  </si>
  <si>
    <t>CRISTALIA PRODUTOS QUIMICOS E FARMACEUTICOS LTDA.</t>
  </si>
  <si>
    <t>FORNECIMENTO DE ESCOVAS PARA DEGERMAÇÃO E ANTISSEPSIA PRÉ-OPERATÓRIA DAS MÃOS PARA USO NO CENTRO DE REFERÊNCIA DA SAÚDE DA MULHER DE RIBEIRÃO PRETO - MATER, LOCALIZADO NA AVENIDA WANDERLEY TAFFO, Nº 330, NA CIDADE DE RIBEIRÃO PRETO-SP</t>
  </si>
  <si>
    <r>
      <t>DISPENSA</t>
    </r>
    <r>
      <rPr>
        <sz val="8"/>
        <color indexed="8"/>
        <rFont val="Arial"/>
        <family val="2"/>
      </rPr>
      <t xml:space="preserve"> </t>
    </r>
    <r>
      <rPr>
        <sz val="8"/>
        <color indexed="8"/>
        <rFont val="Arial"/>
        <family val="2"/>
      </rPr>
      <t xml:space="preserve"> </t>
    </r>
    <r>
      <rPr>
        <sz val="8"/>
        <color indexed="8"/>
        <rFont val="Arial"/>
        <family val="2"/>
      </rPr>
      <t>ARTIGO 7, II DO RLC</t>
    </r>
  </si>
  <si>
    <t>12 MESES, a contar de 30/05/2019</t>
  </si>
  <si>
    <t>30 DIAS, CONTADOS DO RECEBIMENTO DA NOTA FISCAL</t>
  </si>
  <si>
    <r>
      <t>128</t>
    </r>
    <r>
      <rPr>
        <sz val="8"/>
        <color indexed="8"/>
        <rFont val="Arial"/>
        <family val="2"/>
      </rPr>
      <t xml:space="preserve"> / </t>
    </r>
    <r>
      <rPr>
        <sz val="8"/>
        <color indexed="8"/>
        <rFont val="Arial"/>
        <family val="2"/>
      </rPr>
      <t xml:space="preserve">2019
</t>
    </r>
    <r>
      <rPr>
        <sz val="8"/>
        <color indexed="8"/>
        <rFont val="Arial"/>
        <family val="2"/>
      </rPr>
      <t>MATER</t>
    </r>
  </si>
  <si>
    <t>GHA ROCHA ME</t>
  </si>
  <si>
    <t>PRESTAÇÃO DE SERVIÇOS DE CONTROLE DE QUALIDADE DOS EQUIPAMENTOS DE RAIO-X E MAMÓGRAFO INSTALADOS NAS DEPENDÊNCIAS DO CENTRO DE REFERÊNCIA DA SAÚDE DA MULHER DE RIBEIRÃO PRETO - MATER</t>
  </si>
  <si>
    <r>
      <t>DISPENSA</t>
    </r>
    <r>
      <rPr>
        <sz val="8"/>
        <color indexed="8"/>
        <rFont val="Arial"/>
        <family val="2"/>
      </rPr>
      <t xml:space="preserve"> </t>
    </r>
    <r>
      <rPr>
        <sz val="8"/>
        <color indexed="8"/>
        <rFont val="Arial"/>
        <family val="2"/>
      </rPr>
      <t xml:space="preserve"> </t>
    </r>
    <r>
      <rPr>
        <sz val="8"/>
        <color indexed="8"/>
        <rFont val="Arial"/>
        <family val="2"/>
      </rPr>
      <t>ARTIGO 7, I DO RLC</t>
    </r>
  </si>
  <si>
    <t>12 MESES, a contar de 03/06/2019</t>
  </si>
  <si>
    <t>15 DIAS APÓS O RECEBIMENTO DA NF</t>
  </si>
  <si>
    <r>
      <t>179</t>
    </r>
    <r>
      <rPr>
        <sz val="8"/>
        <color indexed="8"/>
        <rFont val="Arial"/>
        <family val="2"/>
      </rPr>
      <t xml:space="preserve"> / </t>
    </r>
    <r>
      <rPr>
        <sz val="8"/>
        <color indexed="8"/>
        <rFont val="Arial"/>
        <family val="2"/>
      </rPr>
      <t xml:space="preserve">2019
</t>
    </r>
    <r>
      <rPr>
        <sz val="8"/>
        <color indexed="8"/>
        <rFont val="Arial"/>
        <family val="2"/>
      </rPr>
      <t>MATER</t>
    </r>
  </si>
  <si>
    <t>FORNECIMENTO DE PAPEL GRAU CIRÚRGICO COM CESSÃO EM COMODATO DE EQUIPAMENTOS  PARA O CENTRO DE REFERENCIA DA SAUDE DA MULHER</t>
  </si>
  <si>
    <t>12 MESES, a contar de 08/07/2019</t>
  </si>
  <si>
    <t>30 DIAS CONTADOS DA DATA DE ENTREGA DOS MATERIAIS</t>
  </si>
  <si>
    <r>
      <t>RETI-RATI</t>
    </r>
    <r>
      <rPr>
        <b/>
        <sz val="14"/>
        <color indexed="8"/>
        <rFont val="Microsoft Sans Serif"/>
        <family val="2"/>
      </rPr>
      <t xml:space="preserve"> FAEPA </t>
    </r>
    <r>
      <rPr>
        <b/>
        <sz val="14"/>
        <color indexed="8"/>
        <rFont val="Microsoft Sans Serif"/>
        <family val="2"/>
      </rPr>
      <t>2019</t>
    </r>
    <r>
      <rPr>
        <b/>
        <sz val="14"/>
        <color indexed="8"/>
        <rFont val="Microsoft Sans Serif"/>
        <family val="2"/>
      </rPr>
      <t xml:space="preserve"> - </t>
    </r>
    <r>
      <rPr>
        <b/>
        <sz val="14"/>
        <color indexed="8"/>
        <rFont val="Microsoft Sans Serif"/>
        <family val="2"/>
      </rPr>
      <t>MATER</t>
    </r>
  </si>
  <si>
    <r>
      <t>35</t>
    </r>
    <r>
      <rPr>
        <sz val="8"/>
        <color indexed="8"/>
        <rFont val="Arial"/>
        <family val="2"/>
      </rPr>
      <t xml:space="preserve"> / </t>
    </r>
    <r>
      <rPr>
        <sz val="8"/>
        <color indexed="8"/>
        <rFont val="Arial"/>
        <family val="2"/>
      </rPr>
      <t xml:space="preserve">2019
</t>
    </r>
    <r>
      <rPr>
        <sz val="8"/>
        <color indexed="8"/>
        <rFont val="Arial"/>
        <family val="2"/>
      </rPr>
      <t>MATER</t>
    </r>
  </si>
  <si>
    <t>PRORROGAÇÃO DO CONTRATO FAEPA Nº 36/17 QUE TEM POR OBJETO O FORNECIMENTO DE GASES MEDICINAIS E LOCAÇÃO DE CILINDROS PARA O CENTRO DE REFERÊNCIA DA SAÚDE DA MULHER - MATER</t>
  </si>
  <si>
    <r>
      <t>DISPENSA</t>
    </r>
    <r>
      <rPr>
        <sz val="8"/>
        <color indexed="8"/>
        <rFont val="Arial"/>
        <family val="2"/>
      </rPr>
      <t xml:space="preserve"> </t>
    </r>
    <r>
      <rPr>
        <sz val="8"/>
        <color indexed="8"/>
        <rFont val="Arial"/>
        <family val="2"/>
      </rPr>
      <t xml:space="preserve"> </t>
    </r>
    <r>
      <rPr>
        <sz val="8"/>
        <color indexed="8"/>
        <rFont val="Arial"/>
        <family val="2"/>
      </rPr>
      <t>INCISO I DO ARTIGO 23 COMBINADO COM AS DO INCISO II DO ARTIGO 7º DO REGULAMENTO DE LICITAÇÃO E CONTRATO DA FAEPA</t>
    </r>
  </si>
  <si>
    <t>12 MESES, a contar de 04/04/2019</t>
  </si>
  <si>
    <r>
      <t>40</t>
    </r>
    <r>
      <rPr>
        <sz val="8"/>
        <color indexed="8"/>
        <rFont val="Arial"/>
        <family val="2"/>
      </rPr>
      <t xml:space="preserve"> / </t>
    </r>
    <r>
      <rPr>
        <sz val="8"/>
        <color indexed="8"/>
        <rFont val="Arial"/>
        <family val="2"/>
      </rPr>
      <t xml:space="preserve">2019
</t>
    </r>
    <r>
      <rPr>
        <sz val="8"/>
        <color indexed="8"/>
        <rFont val="Arial"/>
        <family val="2"/>
      </rPr>
      <t>MATER</t>
    </r>
  </si>
  <si>
    <t>PRORROGAÇÃO DO CONTRATO Nº 39/16, QUE TEM POR OBJETO A PRESTAÇÃO DE SERVIÇOS DE MOTOBOY, PELA CONTRATADA, PARA TRANSPORTE E ENTREGA DE DOCUMENTOS E MATERIAIS BIOLÓGICOS, MEDIANTE A DISPONIBILIZAÇÃO DE VEÍCULO TIPO MOTOCICLETA, ADEQUADO AO SERVIÇO, E CONDUTOR DEVIDAMENTE HABILITADO, QUE FICARÃO À DISPOSIÇÃO DO CENTRO DE REFERÊNCIA DA SAÚDE DA MULHER DE RIBEIRÃO PRETO - MATER</t>
  </si>
  <si>
    <r>
      <t>DISPENSA</t>
    </r>
    <r>
      <rPr>
        <sz val="8"/>
        <color indexed="8"/>
        <rFont val="Arial"/>
        <family val="2"/>
      </rPr>
      <t xml:space="preserve"> </t>
    </r>
    <r>
      <rPr>
        <sz val="8"/>
        <color indexed="8"/>
        <rFont val="Arial"/>
        <family val="2"/>
      </rPr>
      <t xml:space="preserve"> </t>
    </r>
    <r>
      <rPr>
        <sz val="8"/>
        <color indexed="8"/>
        <rFont val="Arial"/>
        <family val="2"/>
      </rPr>
      <t>INCISO I DO ARTIGO 23 C/C COM AS DO INCISO II DO ARTIGO 7º, DO REGULAMENTO DE LICITAÇÃO E CONTRATO DA FAEPA.</t>
    </r>
  </si>
  <si>
    <t>12 MESES, a contar de 01/04/2019</t>
  </si>
  <si>
    <r>
      <t>42</t>
    </r>
    <r>
      <rPr>
        <sz val="8"/>
        <color indexed="8"/>
        <rFont val="Arial"/>
        <family val="2"/>
      </rPr>
      <t xml:space="preserve"> / </t>
    </r>
    <r>
      <rPr>
        <sz val="8"/>
        <color indexed="8"/>
        <rFont val="Arial"/>
        <family val="2"/>
      </rPr>
      <t xml:space="preserve">2019
</t>
    </r>
    <r>
      <rPr>
        <sz val="8"/>
        <color indexed="8"/>
        <rFont val="Arial"/>
        <family val="2"/>
      </rPr>
      <t>MATER</t>
    </r>
  </si>
  <si>
    <t>ADITAMENTO DO CONTRATO 153/16, QUE TRATA DA PRESTAÇÃO DE SERVIÇOS DE RADIOLOGIA E DIAGNÓSTICO POR IMAGEM EM PACIENTES INDICADOS PELO CENTRO DE REFERÊNCIA DA SAÚDE DA MULHER DE RIBEIRÃO PRETO - MATER, SENDO OS SERVIÇOS RADIOLÓGICOS PRESTADOS NO PRÓPRIO CENTRO, SITO A RUA WANDERLEY TAFFO, Nº 330, EM RIBEIRÃO PRETO - SP.</t>
  </si>
  <si>
    <r>
      <t>DISPENSA</t>
    </r>
    <r>
      <rPr>
        <sz val="8"/>
        <color indexed="8"/>
        <rFont val="Arial"/>
        <family val="2"/>
      </rPr>
      <t xml:space="preserve"> </t>
    </r>
    <r>
      <rPr>
        <sz val="8"/>
        <color indexed="8"/>
        <rFont val="Arial"/>
        <family val="2"/>
      </rPr>
      <t xml:space="preserve"> </t>
    </r>
    <r>
      <rPr>
        <sz val="8"/>
        <color indexed="8"/>
        <rFont val="Arial"/>
        <family val="2"/>
      </rPr>
      <t>INCISO II DO ARTIGO 7º E NO INCISO I DO ARTIGO 23 DO REGULAMENTO DE LICITAÇÃO E CONTRATO DA FAEPA</t>
    </r>
  </si>
  <si>
    <r>
      <t>58</t>
    </r>
    <r>
      <rPr>
        <sz val="8"/>
        <color indexed="8"/>
        <rFont val="Arial"/>
        <family val="2"/>
      </rPr>
      <t xml:space="preserve"> / </t>
    </r>
    <r>
      <rPr>
        <sz val="8"/>
        <color indexed="8"/>
        <rFont val="Arial"/>
        <family val="2"/>
      </rPr>
      <t xml:space="preserve">2019
</t>
    </r>
    <r>
      <rPr>
        <sz val="8"/>
        <color indexed="8"/>
        <rFont val="Arial"/>
        <family val="2"/>
      </rPr>
      <t>MATER</t>
    </r>
  </si>
  <si>
    <t>PRORROGAÇÃO DO CONTRATO FAEPA Nº 99/17 QUE TEM POR OBJETO A PRESTAÇÃO DE SERVIÇOS DE MANUTENÇÃO PREVENTIVA E CORRETIVA DOS EQUIPAMENTOS DO SISTEMA DE AR CONDICIONADO, VENTILAÇÃO E EXAUSTÃO INSTALADOS NAS DEPENDÊNCIAS DO CENTRO DE REFERÊNCIA DA SAÚDE DA MULHER DE RIBEIRÃO PRETO - MATER.</t>
  </si>
  <si>
    <r>
      <t>DISPENSA</t>
    </r>
    <r>
      <rPr>
        <sz val="8"/>
        <color indexed="8"/>
        <rFont val="Arial"/>
        <family val="2"/>
      </rPr>
      <t xml:space="preserve"> </t>
    </r>
    <r>
      <rPr>
        <sz val="8"/>
        <color indexed="8"/>
        <rFont val="Arial"/>
        <family val="2"/>
      </rPr>
      <t xml:space="preserve"> </t>
    </r>
    <r>
      <rPr>
        <sz val="8"/>
        <color indexed="8"/>
        <rFont val="Arial"/>
        <family val="2"/>
      </rPr>
      <t>ARTIGO 23, I C/C ARTIGO 7, II DO RLC</t>
    </r>
  </si>
  <si>
    <t>12 MESES, a contar de 04/05/2019</t>
  </si>
  <si>
    <r>
      <t>83</t>
    </r>
    <r>
      <rPr>
        <sz val="8"/>
        <color indexed="8"/>
        <rFont val="Arial"/>
        <family val="2"/>
      </rPr>
      <t xml:space="preserve"> / </t>
    </r>
    <r>
      <rPr>
        <sz val="8"/>
        <color indexed="8"/>
        <rFont val="Arial"/>
        <family val="2"/>
      </rPr>
      <t xml:space="preserve">2019
</t>
    </r>
    <r>
      <rPr>
        <sz val="8"/>
        <color indexed="8"/>
        <rFont val="Arial"/>
        <family val="2"/>
      </rPr>
      <t>MATER</t>
    </r>
  </si>
  <si>
    <t>PRORROGAÇÃO DO CONTRATO FAEPA Nº 109/16 QUE TEM POR OBJETO A PRESTAÇÃO DE SERVIÇOS DE DESINSETIZAÇÃO, DESRATIZAÇÃO E CONTROLE AMBIENTAL A PRAGAS NAS INSTALAÇÕES DO CENTRO DE REFERÊNCIA DA SAÚDE DA MULHER-MATER, LOCALIZADO NA AVENIDA WANDERLEY TAFFO, Nº 330, BAIRRO QUINTINO FACCI II, EM RIBEIRÃO PRETO-SP, INCLUSIVE DAS ÁREAS INTERNAS E EXTERNAS DOS PRÉDIOS DENOMINADOS ALOJAMENTO E AMBULATÓRIO, MEDIANTE O FORNECIMENTO DE TODOS OS EQUIPAMENTOS, PRODUTOS E UTENSÍLIOS ADEQUADOS PARA A REALIZAÇÃO DOS SERVIÇOS.</t>
  </si>
  <si>
    <r>
      <t>DISPENSA</t>
    </r>
    <r>
      <rPr>
        <sz val="8"/>
        <color indexed="8"/>
        <rFont val="Arial"/>
        <family val="2"/>
      </rPr>
      <t xml:space="preserve"> </t>
    </r>
    <r>
      <rPr>
        <sz val="8"/>
        <color indexed="8"/>
        <rFont val="Arial"/>
        <family val="2"/>
      </rPr>
      <t xml:space="preserve"> </t>
    </r>
    <r>
      <rPr>
        <sz val="8"/>
        <color indexed="8"/>
        <rFont val="Arial"/>
        <family val="2"/>
      </rPr>
      <t>ARTIGO 23, I C/C ARTIGO 7, I DO RLC</t>
    </r>
  </si>
  <si>
    <t>12 MESES, a contar de 15/08/2019</t>
  </si>
  <si>
    <r>
      <t>86</t>
    </r>
    <r>
      <rPr>
        <sz val="8"/>
        <color indexed="8"/>
        <rFont val="Arial"/>
        <family val="2"/>
      </rPr>
      <t xml:space="preserve"> / </t>
    </r>
    <r>
      <rPr>
        <sz val="8"/>
        <color indexed="8"/>
        <rFont val="Arial"/>
        <family val="2"/>
      </rPr>
      <t xml:space="preserve">2019
</t>
    </r>
    <r>
      <rPr>
        <sz val="8"/>
        <color indexed="8"/>
        <rFont val="Arial"/>
        <family val="2"/>
      </rPr>
      <t>MATER</t>
    </r>
  </si>
  <si>
    <t>PRORROGAÇÃO DO CONTRATO 89/15 QUE TRATA DA PRESTAÇÃO DE SERVIÇOS ESPECIALIZADOS NA ÁREA DE ANATOMIA PATOLÓGICA, CITOLOGIA E IMUNOISTOQUÍMICA, PARA A REALIZAÇÃO DOS PROCEDIMENTOS DIAGNÓSTICOS POR ANATOMIA PATOLÓGICA E CITOPATOLOGIA DEMANDADOS PELO CENTRO DE REFERÊNCIA DA SAÚDE DA MULHER DE RIBEIRÃO PRETO - MATER.</t>
  </si>
  <si>
    <r>
      <t>DISPENSA</t>
    </r>
    <r>
      <rPr>
        <sz val="8"/>
        <color indexed="8"/>
        <rFont val="Arial"/>
        <family val="2"/>
      </rPr>
      <t xml:space="preserve"> </t>
    </r>
    <r>
      <rPr>
        <sz val="8"/>
        <color indexed="8"/>
        <rFont val="Arial"/>
        <family val="2"/>
      </rPr>
      <t xml:space="preserve"> </t>
    </r>
    <r>
      <rPr>
        <sz val="8"/>
        <color indexed="8"/>
        <rFont val="Arial"/>
        <family val="2"/>
      </rPr>
      <t>INCISO II DO ARTIGO 7º DO REGULAMENTO DE LICITAÇÃO E CONTRATO DA FAEPA.</t>
    </r>
  </si>
  <si>
    <t>12 MESES, a contar de 01/08/2019</t>
  </si>
  <si>
    <t>ATIVO</t>
  </si>
  <si>
    <t>Ativo</t>
  </si>
  <si>
    <t>SAO FRANCISCO SISTEMAS DE SAUDE SOCIEDADE EMPRESARIA LTDA</t>
  </si>
  <si>
    <t>PRESTAÇÃO DE SERVIÇOS EM SAÚDE OCUPACIONAL PARA A ELABORAÇÃO DE PROGRAMA DE PREVENÇÃO DE RISCOS AMBIENTAIS (PPRA), DE PROGRAMA DE CONTROLE MEDICO DE SAUDE OPERACIONAL (PCMSO), DE LAUDO TECNICO DAS CONDICÇÕES DE TRABALHO (LTCAT) DOS COLABORADORES INDICADOS PELA CONTRATANTE</t>
  </si>
  <si>
    <t>12 MESES, a contar de 01/10/2018</t>
  </si>
  <si>
    <t>PRORROGAÇÃO DO CONTRATO FAEPA Nº 39/16 QUE TEM POR OBJETO A PRESTAÇÃO DE SERVIÇOS DE MOTOBOY, PELA CONTRATADA, PARA TRANSPORTE E ENTREGA DE DOCUMENTOS E MATERIAIS BIOLÓGICOS, MEDIANTE A DISPONIBILIZAÇÃO DE VEÍCULO TIPO MOTOCICLETA, ADEQUADO AO SERVIÇO, E CONDUTOR DEVIDAMENTE HABILITADO, QUE FICARÃO À DISPOSIÇÃO DO CENTRO DE REFERÊNCIA DA SAÚDE DA MULHER DE RIBEIRÃO PRETO - MATER.</t>
  </si>
  <si>
    <t>12 MESES, a contar de 01/04/2018</t>
  </si>
  <si>
    <t>ADITAMENTO E PRORROGAÇÃO DO CP 99/17, QUE TEM POR OBJETO A PRESTAÇÃO DE SERVIÇOS DE MANUTENÇÃO PREVENTIVA E CORRETIVA DOS EQUIPAMENTOS DO SISTEMA DE AR CONDICIONADO, VENTILAÇÃO E EXAUSTÃO INSTALADOS NAS DEPENDÊNCIAS DO CENTRO DE REFERÊNCIA DA SAÚDE DA MULHER DE RIBEIRÃO PRETO - MATER</t>
  </si>
  <si>
    <t>12 MESES, a contar de 04/05/2018</t>
  </si>
  <si>
    <t>SÃO FRANCISCO SISTEMAS DE SAÚDE SOCIEDADE EMPRESARIA LIMITADA</t>
  </si>
  <si>
    <t>PRORROGAÇÃO DO CONTRATO 123/17, QUE TEM POR OBJETO A REALIZAÇÃO DE EXAMES LABORATORIAIS DE ANÁLISES CLÍNICAS PARA O CENTRO DE REFERENCIA DA SAÚDE DA MULHER DE RIBEIRÃO PRETO - MATER.</t>
  </si>
  <si>
    <t>12 MESES, a contar de 01/06/2018</t>
  </si>
  <si>
    <t>PRORROGAÇÃO DO CONTRATO FAEPA Nº 89/15 QUE TEM POR OBJETO A PRESTAÇÃO DE SERVIÇOS ESPECIALIZADOS, PELA CONTRATADA, NA ÁREA DE ANATOMIA PATOLÓGICA, CITOLOGIA E IMUNOISTOQUÍMICA, PARA A REALIZAÇÃO DOS PROCEDIMENTOS DIAGNÓSTICOS POR ANATOMIA PATOLÓGICA E CITOPATOLOGIA DEMANDADOS PELO CENTRO DE REFERÊNCIA DA SAÚDE DA MULHER DE RIBEIRÃO PRETO - MATER.</t>
  </si>
  <si>
    <t>12 MESES, a contar de 01/08/2018</t>
  </si>
  <si>
    <t>ALTERAÇÃO E PRORROGAÇÃO DO CONTRATO FAEPA Nº 109/16 QUE TEM POR OBJETO A PRESTAÇÃO DE SERVIÇOS DE DESINSETIZAÇÃO, DESRATIZAÇÃO E CONTROLE AMBIENTAL A PRAGAS NAS INSTALAÇÕES DO CENTRO DE REFERÊNCIA DA SAÚDE DA MULHER-MATER, LOCALIZADO NA AVENIDA WANDERLEY TAFFO, Nº 330, BAIRRO QUINTINO FACCI II, EM RIBEIRÃO PRETO-SP, INCLUSIVE DAS ÁREAS INTERNAS E EXTERNAS DOS PRÉDIOS DENOMINADOS ALOJAMENTO E AMBULATÓRIO, MEDIANTE O FORNECIMENTO DE TODOS OS EQUIPAMENTOS, PRODUTOS E UTENSÍLIOS ADEQUADOS PARA A REALIZAÇÃO DOS SERVIÇOS.</t>
  </si>
  <si>
    <t>12 MESES, a contar de 15/08/2018</t>
  </si>
  <si>
    <t>SPECOOPANESTRPO2 SERVIÇOS MÉDICOS ESPECIALIZADOS EM ANESTESIOLOGIA LTDA.</t>
  </si>
  <si>
    <t>PRORROGAÇÃO DO CONTRATO 145/14 QUE TRATA DA PRESTAÇÃO DE SERVIÇOS MÉDICO-HOSPITALARES, PELA CONTRATADA, NA ÁREA MÉDICA DE ANESTESIOLOGIA, PARA A REALIZAÇÃO DE PROCEDIMENTOS ANESTÉSICOS, CONSULTAS PRÉ-ANESTÉSICAS E PÓS-ANESTÉSICAS, E COORDENAÇÃO DA ÁREA DE ANESTESIOLOGIA DO CRSMRP - MATER</t>
  </si>
  <si>
    <t>PRORROGAÇÃO DO CONTRATO FAEPA Nº 153/16 QUE TEM POR OBJETO A PRESTAÇÃO DE SERVIÇOS DE RADIOLOGIA E DIAGNÓSTICO POR IMAGEM EM PACIENTES INDICADOS PELO CENTRO DE REFERÊNCIA DA SAÚDE DA MULHER DE RIBEIRÃO PRETO - MATER, SENDO OS SERVIÇOS RADIOLÓGICOS PRESTADOS NO PRÓPRIO CENTRO, SITO A RUA WANDERLEY TAFFO, Nº 330, EM RIBEIRÃO PRETO - SP.</t>
  </si>
  <si>
    <t>12 MESES, a contar de 01/11/2018</t>
  </si>
  <si>
    <t>ALTERAÇÃO E ADITAMENTO DO CONTRATO 145/14 QUE TRATA DA PRESTAÇÃO DE SERVIÇOS MÉDICO-HOSPITALARES, PELA CONTRATADA, NA ÁREA MÉDICA DE ANESTESIOLOGIA, PARA A REALIZAÇÃO DE PROCEDIMENTOS ANESTÉSICOS, CONSULTAS PRÉ-ANESTÉSICAS E PÓS-ANESTÉSICAS, E COORDENAÇÃO DA ÁREA DE ANESTESIOLOGIA DO CRSMRP - MATER</t>
  </si>
  <si>
    <t>CNPJ</t>
  </si>
  <si>
    <t>CPF</t>
  </si>
  <si>
    <t>Nome</t>
  </si>
  <si>
    <t>60.255.797/0001-22</t>
  </si>
  <si>
    <t>624.349.501-91</t>
  </si>
  <si>
    <t>10.203.274/0001-31</t>
  </si>
  <si>
    <t>01.613.433/0105-71</t>
  </si>
  <si>
    <t>275.389.698-45</t>
  </si>
  <si>
    <t>11.794.863/0001-02</t>
  </si>
  <si>
    <t>27.107.552/0001-50</t>
  </si>
  <si>
    <t>118.015.788-50</t>
  </si>
  <si>
    <t>01.613.433/0001-85</t>
  </si>
  <si>
    <t>57.714.107/0001-19</t>
  </si>
  <si>
    <t>862.926.768-20</t>
  </si>
  <si>
    <t>18.431.498/0001-02</t>
  </si>
  <si>
    <t>176.589.908-76</t>
  </si>
  <si>
    <t>Rodrigo Nery</t>
  </si>
  <si>
    <t>270.047.208-02</t>
  </si>
  <si>
    <t>Kelly Ceolin Nery</t>
  </si>
  <si>
    <t>15.607.934/0001-63</t>
  </si>
  <si>
    <t>321.318.068-84</t>
  </si>
  <si>
    <t>Jeferson Ximenes Alves</t>
  </si>
  <si>
    <t>LUIZ CARLOS MOREIRA</t>
  </si>
  <si>
    <t>792.167.228-00</t>
  </si>
  <si>
    <t>RODRIGO DO TOCANTINS CALADO DE SALOMA RODRIGUES</t>
  </si>
  <si>
    <t>ANEXO</t>
  </si>
  <si>
    <t xml:space="preserve">JOSÉ MARIA GONÇALVES </t>
  </si>
  <si>
    <t>LUIS FERNANDO CAMPIONI</t>
  </si>
  <si>
    <t xml:space="preserve">PAULO ROBERTO FELIX </t>
  </si>
  <si>
    <t>370.541.568-97</t>
  </si>
  <si>
    <t>LIGIA MAGNANI CAMARERO</t>
  </si>
  <si>
    <t>833.913.128-15</t>
  </si>
  <si>
    <t>PEDRO GUIMARÃES DE ANDRADE LANDELL</t>
  </si>
  <si>
    <t>20.893.488/0001-30</t>
  </si>
  <si>
    <t>Vigência 2019</t>
  </si>
  <si>
    <t>Sócio 1</t>
  </si>
  <si>
    <t>Sócio 2</t>
  </si>
  <si>
    <t>Sócio 3</t>
  </si>
  <si>
    <t>60.255.791/0001-22</t>
  </si>
  <si>
    <t>44.734.671/0001-51</t>
  </si>
  <si>
    <t>05.548.741/0001-25</t>
  </si>
  <si>
    <t>54.756.242/0001-39</t>
  </si>
  <si>
    <t>00.331.788/0001-19</t>
  </si>
  <si>
    <t>66.743.683/0001-85</t>
  </si>
  <si>
    <t>22.535.466/0001-24</t>
  </si>
  <si>
    <t>17.620.831/0001-69</t>
  </si>
  <si>
    <t>HANDLE COMERCIO DE EQUIPAMENTOS MEDICOS LTDA</t>
  </si>
  <si>
    <t>CONFIANÇA HIGIENIZAÇÃO TEXTIL LTDA EPP.</t>
  </si>
  <si>
    <t>GAPS SEGURANÇA E VIGILÂNCIA EIRELI - ME</t>
  </si>
  <si>
    <t>RIBEIRÃO PRETO GERADORES E MANUTENÇÃO LTDA-ME</t>
  </si>
  <si>
    <t>FORNECIMENTO, EM REGIME DE CONSIGNAÇÃO, DE CATETER BALÃO DE TAMPONAMENTO UTERINO.</t>
  </si>
  <si>
    <t>ADITAMENTO DO CONTRATO  210/18 QUE TRATA DA PRESTAÇÃO DE SERVIÇOS EM SAÚDE OCUPACIONAL PARA A ELABORAÇÃO DE PROGRAMA DE PREVENÇÃO DE RISCOS AMBIENTAIS (PPRA), DE PROGRAMA DE CONTROLE MEDICO DE SAUDE OPERACIONAL (PCMSO), DE LAUDO TECNICO DAS CONDICÇÕES DE TRABALHO (LTCAT) DOS COLABORADORES INDICADOS PELA CONTRATANTE</t>
  </si>
  <si>
    <t>PRORROGAÇÃO DO CONTRATO FAEPA Nº 271/17 QUE TRATA DA PRESTAÇÃO DE SERVIÇOS ESPECIALIZADOS DE LAVANDERIA HOSPITALAR NAS DEPENDÊNCIAS DA CONTRATADA PARA O CENTRO DE REFERÊNCIA DA SAÚDE DA MULHER DE RIBEIRÃO PRETO - MATER, LOCALIZADO NA AVENIDA WANDERLEY TAFFO Nº 330 - BAIRRO QUINTINO FACCI II, NA CIDADE DE RIBEIRÃO PRETO/SP</t>
  </si>
  <si>
    <t>PRORROGAÇÃO DO CONTRATO FAEPA Nº 153/16 QUE TRATA DA PRESTAÇÃO DE SERVIÇOS DE RADIOLOGIA E DIAGNÓSTICO POR IMAGEM EM PACIENTES INDICADOS PELO CENTRO DE REFERÊNCIA DA SAÚDE DA MULHER DE RIBEIRÃO PRETO - MATER, SENDO OS SERVIÇOS RADIOLÓGICOS PRESTADOS NO PRÓPRIO CENTRO, SITO A RUA WANDERLEY TAFFO, Nº 330, EM RIBEIRÃO PRETO - SP.</t>
  </si>
  <si>
    <t>PRORROGAÇÃO DO CONTRATO 145/14 QUE TRATA DA PRESTAÇÃO DE SERVIÇOS MÉDICO-HOSPITALARES, PELA CONTRATADA, NA ÁREA MÉDICA DE ANESTESIOLOGIA, PARA A REALIZAÇÃO DE PROCEDIMENTOS ANESTÉSICOS, CONSULTAS PRÉ-ANESTÉSICAS E PÓS-ANESTÉSICAS, E COORDENAÇÃO DA ÁREA DE ANESTESIOLOGIA</t>
  </si>
  <si>
    <t>PRORROGAÇÃO DO CONTRATO FAEPA 278/17: PRESTAÇÃO DE SERVIÇOS DE VIGILÂNCIA E SEGURANÇA PATRIMONIAL PARA O CENTRO DE REFERÊNCIA DA SAÚDE DA MULHER DE RIBEIRÃO PRETO - MATER, NA AVENIDA WANDERLEI TAFFO, 330, BAIRRO QUINTINO FACCI II - RIBEIRÃO PRETO</t>
  </si>
  <si>
    <t>PRORROGAÇÃO DO CONTRATO 280/18 QUE TRATA DA PRESTAÇÃO DE SERVIÇOS DE MANUTENÇÃO PREVENTIVA E CORRETIVA NO GRUPO GERADOR E PAINEL DE CONTROLE INSTALADO NAS DEPENDÊNCIAS DO CENTRO DE REFERÊNCIA DA SAÚDE DA MULHER DE RIBEIRÃO PRETO - MATER.</t>
  </si>
  <si>
    <t>12 MESES, a contar de 26/09/2019</t>
  </si>
  <si>
    <t>12 MESES, a contar de 20/11/2019</t>
  </si>
  <si>
    <t>12 MESES, a contar de 01/11/2019</t>
  </si>
  <si>
    <t>02 MESES, a contar de 01/10/2019</t>
  </si>
  <si>
    <t>12 MESES, a contar de 30/11/2019</t>
  </si>
  <si>
    <t>12 MESES, a contar de 10/01/2020</t>
  </si>
  <si>
    <t>NÃO TEM NO GC</t>
  </si>
  <si>
    <t>"DIR TÉC CIENTÍFICO" RODRIGO DO TOCANTINS CALADO DE SALOMA RODRIGUES</t>
  </si>
  <si>
    <t>308.814.508-80</t>
  </si>
  <si>
    <t>GUSTAVO HENRIQUE ARANTES ROCHA</t>
  </si>
  <si>
    <t>116.794.628-65</t>
  </si>
  <si>
    <t>MARCO FLAVIO TENUTO ROSSI</t>
  </si>
  <si>
    <t>067.367.658-70</t>
  </si>
  <si>
    <t>SANDRA EVELISE MORENO ROSSI</t>
  </si>
  <si>
    <t>046.515.368-24</t>
  </si>
  <si>
    <t>ANTONIO CARLOS AYRES</t>
  </si>
  <si>
    <t xml:space="preserve">JEFERSON XIMENES ALVES </t>
  </si>
  <si>
    <t>026.583.358-22</t>
  </si>
  <si>
    <t>SERGIO APARECIDO DA SILVA ALVES</t>
  </si>
  <si>
    <t>307.849.638-43</t>
  </si>
  <si>
    <t>CAROLINE STELA GUSMÃO</t>
  </si>
  <si>
    <t>254.849.758-59</t>
  </si>
  <si>
    <t>REGINALDO VINCIAQUI</t>
  </si>
  <si>
    <t>6/2019</t>
  </si>
  <si>
    <t>11/2019</t>
  </si>
  <si>
    <t>210/2018</t>
  </si>
  <si>
    <t>37/2018</t>
  </si>
  <si>
    <t>56/2018</t>
  </si>
  <si>
    <t>66/2018</t>
  </si>
  <si>
    <t>81/2018</t>
  </si>
  <si>
    <t>99/2018</t>
  </si>
  <si>
    <t>135/2018</t>
  </si>
  <si>
    <t>146/2018</t>
  </si>
  <si>
    <t>122/2019</t>
  </si>
  <si>
    <t>128/2019</t>
  </si>
  <si>
    <t>179/2019</t>
  </si>
  <si>
    <t>250/2019</t>
  </si>
  <si>
    <t>35/2019</t>
  </si>
  <si>
    <t>40/2019</t>
  </si>
  <si>
    <t>58/2019</t>
  </si>
  <si>
    <t>83/2019</t>
  </si>
  <si>
    <t>86/2019</t>
  </si>
  <si>
    <t>105/2019</t>
  </si>
  <si>
    <t>111/2019</t>
  </si>
  <si>
    <t>112/2019</t>
  </si>
  <si>
    <t>124/2019</t>
  </si>
  <si>
    <t>140/2019</t>
  </si>
  <si>
    <t>278/2017</t>
  </si>
  <si>
    <t>02.337.399/0001-26</t>
  </si>
  <si>
    <t>29.511.607-0001-18</t>
  </si>
  <si>
    <t>03.471.492/0001-91</t>
  </si>
  <si>
    <t>59.434.449/0001-00</t>
  </si>
  <si>
    <t>74.347.980/0001-30</t>
  </si>
  <si>
    <t>17.620.931/0001-69</t>
  </si>
  <si>
    <t>10.556.415/0001-08</t>
  </si>
  <si>
    <t>58.598.368/0001-83</t>
  </si>
  <si>
    <t>05.023.422/0001-04</t>
  </si>
  <si>
    <t>27.916.308/0001-38</t>
  </si>
  <si>
    <t>23.018.167/0001-85</t>
  </si>
  <si>
    <t>14.172.202/0001-25</t>
  </si>
  <si>
    <t>08.398.774/0001-24</t>
  </si>
  <si>
    <t>18.990.318/0001-22</t>
  </si>
  <si>
    <t>50.722.503/0001-49</t>
  </si>
  <si>
    <t>04.557.495/0001-05</t>
  </si>
  <si>
    <t>33.765.144/0001-98</t>
  </si>
  <si>
    <t>00.331.788/0012-71</t>
  </si>
  <si>
    <t>SAO FRANCISCO RESGATE LTDA</t>
  </si>
  <si>
    <t>CONTROL LAB CONTROLE DE QUALIDADE PARA LABORATORIO LTDA</t>
  </si>
  <si>
    <t>DIMASTEC GESTÃO DE PONTO E ACESSO-EIRELI-ME</t>
  </si>
  <si>
    <t>ERIMAT TELEINFORMATICA LTDA</t>
  </si>
  <si>
    <t>OXIMED TECNOLOGIA EM ESTERILIZACAO S/S LTDA EPP</t>
  </si>
  <si>
    <t>NGA JARDINOPOLIS- NUCLEO DE GERENCIAMENTO AMBIENTAL LTDA</t>
  </si>
  <si>
    <t>KONIMAGEM COMERCIAL LTDA</t>
  </si>
  <si>
    <t>KM PRINTER IMPRESSORAS LTDA-ME</t>
  </si>
  <si>
    <t>R C DE OLIVEIRA TREINAMENTOS ME</t>
  </si>
  <si>
    <t>SPECOOPANESTRP04 - SERVIÇOS MÉDICOS ESPECIALIZADOS EM ANESTESIOLOGIA LTDA</t>
  </si>
  <si>
    <t>SÓ REFIL COMÉRCIO DE EMBALAGENS LTDA-ME</t>
  </si>
  <si>
    <t>R1000 TELECOMUNICACOES LTDA - ME</t>
  </si>
  <si>
    <t>MAFRA AMBIENTAL COLETA DE RESÍDUOS LTDA</t>
  </si>
  <si>
    <t>ELEVADORES BELGO LTDA</t>
  </si>
  <si>
    <t>HERICA CARDOSO DE SOUZA LEITE-ME</t>
  </si>
  <si>
    <t>FCV-SERVIÇOS E TELECOMUNICAÇÕES-EIRELI</t>
  </si>
  <si>
    <t>PRESTAÇÃO, PELA CONTRATADA, DE SERVIÇOS ININTERRUPTOS DE REMOÇÃO DE PACIENTES RN E COLABORADORES DO CENTRO DE REFERÊNCIA DA SAÚDE DA MULHER DE RIBEIRÃO PRETO - MATER, LOCALIZADO NA AVENIDA WANDERLEY TAFFO, Nº 330 - QUINTINO FACCI II, NESTA CIDADE DE RIBEIRÃO PRETO - SP, INDICADOS PELA CONTRATANTE, INCLUINDO ASSISTÊNCIA MÉDICA EMERGENCIAL PRÉ-HOSPITALAR</t>
  </si>
  <si>
    <t>PRESTAÇÃO DE SERVIÇOS DE CONTROLE DE QUALIDADE PELA CONTROLLAB, CONFORME SOLICITADO PELO LABORATÓRIO PARTICIPANTE, NA MODALIDADE DE: ENSAIO DE PROFICIÊNCIA: GASOBIO</t>
  </si>
  <si>
    <t>PRESTAÇÃO DE SERVIÇO DE ASSESSORIA NO SISTEMA DE CONTROLE DE ACESSO DE PORTAS, PESSOAS, CATRACAS E CANCELAS DA CONTRATANTE.</t>
  </si>
  <si>
    <t>PRESTAÇÃO DE SERVIÇOS, PELA CONTRATADA, DE DESINSETIZAÇÃO, DESRATIZAÇÃO E CONTROLE AMBIENTAL A PRAGAS NAS INSTALAÇÕES DO CENTRO DE REFERÊNCIA DA SAÚDE DA MULHER-MATER, LOCALIZADO NA AVENIDA WANDERLEY TAFFO, Nº 330, BAIRRO QUINTINO FACCI II, EM RIBEIRÃO PRETO-SP, INCLUSIVE DAS ÁREAS INTERNAS E EXTERNAS DOS PRÉDIOS DENOMINADOS ALOJAMENTO E AMBULATÓRIO, MEDIANTE O FORNECIMENTO DE TODOS OS EQUIPAMENTOS, PRODUTOS E UTENSÍLIOS ADEQUADOS PARA A REALIZAÇÃO DOS SERVIÇOS</t>
  </si>
  <si>
    <t>MANUTENÇÃO TÉCNICA PREVENTIVA E CORRETIVA A SER APRESENTADA PELA ERIMAT NO SISTEMA TELEFÔNICO DISCRIMINADO NA CLÁUSULA EM QUESTÃO, DORAVANTE DENOMINADA SISTEMA, COMPOSTO DOS SEGUINTES EQUIPAMENTOS: 01 CENTRAL TELEFÔNICA, MARCA LEUCOTRON IP ISION 3000R.</t>
  </si>
  <si>
    <t>PRESTAÇÃO DE SERVIÇOS DE REPROCESSAMENTO E ESTERILIZAÇÃO A ÓXIDO DE ETILENO DE APARELHOS E ACESSÓRIOS HOSPITALARES EM GERAL PARA O CENTRO DE REFERÊNCIA DA SAÚDE DA MULHER DE RIBEIRÃO PRETO  MATER, LOCALIZADO NA AVENIDA WANDERLEY TAFFO, Nº 330, NA CIDADE DE RIBEIRÃO PRETO-SP.</t>
  </si>
  <si>
    <t>PRESTAÇÃO DE SERVIÇOS ESPECIALIZADOS DE LAVANDERIA HOSPITALAR NAS DEPENDÊNCIAS DA CONTRATADA PARA O CENTRO DE REFERÊNCIA DA SAÚDE DA MULHER DE RIBEIRÃO PRETO - MATER</t>
  </si>
  <si>
    <t>PRESTAÇÃO DE SERVIÇOS DE MANUTENÇÃO PREVENTIVA E CORRETIVA NO GRUPO GERADOR E PAINEL DE CONTROLE INSTALADO NAS DEPENDÊNCIAS DO CENTRO DE REFERÊNCIA DA SAÚDE DA MULHER DE RIBEIRÃO PRETO - MATER.</t>
  </si>
  <si>
    <t>PRESTAÇÃO DE SERVIÇOS DE COLETA, TRANSPORTE, TRATAMENTO E DESTINAÇÃO FINAL, PELA CONTRATADA, DOS RESÍDUOS INFECTANTES (GRUPO A), QUÍMICOS (GRUPO B) E PERFUROCORTANTE (GRUPO E), CLASSIFICADOS NA RDC 222/18 (ANVISA/MS) E RESOLUÇÃO CONAMA 358/2005 DO MINISTÉRIO DO MEIO AMBIENTE, GERADOS NO CENTRO DE REFERÊNCIA DA SAÚDE DA MULHER - MATER, LOCALIZADO NA AVENIDA WANDERLEY TAFFO Nº 300, QUINTINO FACCI II EM RIBEIRÃO PRETO/SP</t>
  </si>
  <si>
    <t>FORNECIMENTO DE AGULHAS DESCARTÁVEIS COM CESS~]AO EM COMODATO DE 02 EQUIPAMENTOS DE BIOPSIA</t>
  </si>
  <si>
    <t>PRESTAÇÃO DE SERVIÇOS DE TRANSPORTE E ENTREGA DE AMOSTRAS (MATERIAL BIOLÓGICO) PARA REALIZAÇÃO DE EXAMES LABORATORIAIS E TIPAGEM SANGUÍNEA QUE SERÃO COLETADAS NO CENTRO DE REFERÊNCIA DA SAÚDE DA MULHER DE RIBEIRÃO PRETO - MATER.</t>
  </si>
  <si>
    <t>PRESTAÇÃO DE SERVIÇOS DE CÓPIAS E IMPRESSÕES REPROGRÁFICAS, MEDIANTE O FORNECIMENTO DE PEÇAS DE REPOSIÇÃO E TONERS, BEM COMO ASSISTÊNCIA TÉCNICA PREVENTIVA E CORRETIVA ESPECIALIZADA EM IMPRESSORAS E MULTIFUNCIONAIS INSTALADAS NO CENTRO DE REFERÊNCIA DA SAÚDE DA MULHER DE RIBEIRÃO PRETO - CRSMRP - MATER.</t>
  </si>
  <si>
    <t>PRESTAÇÃO DE SERVIÇOS CRIAÇÃO E DESENVOLVIMENTO DE WEBSITE INSTITUCIONAL, ASSESSORIA E ACOMPANHAMENTO DE MÍDIAS SOCIAIS PARA O CENTRO DE REFERÊNCIA DE SAÚDE DA MULHER DE RIBEIRÃO PRETO - MATER</t>
  </si>
  <si>
    <t>PRESTAÇÃO DE SERVIÇOS MÉDICO-HOSPITALARES, PELA CONTRATADA, NA ÁREA MÉDICA DE ANESTESIOLOGIA, PARA A REALIZAÇÃO DE PROCEDIMENTOS ANESTÉSICOS E DE COORDENAÇÃO DAS ATIVIDADES DA ÁREA DE ANESTESIA DO CENTRO DE REFERÊNCIA DA SAÚDE DA MULHER DE RIBEIRÃO PRETO - MATER,</t>
  </si>
  <si>
    <t>PRESTAÇÃO DE SERVIÇOS ESPECIALIZADOS, PELA CONTRATADA, NA ÁREA DE ANATOMIA PATOLÓGICA, CITOLOGIA E IMUNOISTOQUÍMICA, PARA A REALIZAÇÃO DOS PROCEDIMENTOS DIAGNÓSTICOS POR ANATOMIA PATOLÓGICA E CITOPATOLOGIA DEMANDADOS PELO CENTRO DE REFERÊNCIA DA SAÚDE DA MULHER DE RIBEIRÃO PRETO - MATER</t>
  </si>
  <si>
    <t>FORNECIMENTO DOS PRODUTOS: PRATO TÉRMICO E SUAS RESPECTIVAS EMBALAGENS DESCARTÁVEIS.</t>
  </si>
  <si>
    <t>PRESTAÇÃO DE SERVIÇOS DE ASSESSORIA EM SISTEMA DE CONTROLE DE ACESSO, MANUTENÇÃO PREVENTIVA E CORRETIVA DE EQUIPAMENTOS INSTALADOS NO CENTRO DE REFERÊNCIA DA SAÚDE DA MULHER DE RIBEIRÃO PRETO - MATER (CRSMRP-MATER).</t>
  </si>
  <si>
    <t>COLETA E DESTINAÇÃO, PELA CONTRATADA, DOS RESÍDUOS DE SERVIÇOS DE SAÚDE, DORAVANTE DESIGNADOS DE "RSS", GERADOS NO CENTRO DE REFERÊNCIA DA SAÚDE DA MULHER DE RIBEIRÃO PRETO - MATER, CLASSIFICADOS NA RDC 306/2004 (ANVISA/MS) E RESOLUÇÃO CONAMA 358/2005 DO MINISTÉRIO DO MEIO AMBIENTE</t>
  </si>
  <si>
    <t>PRESTAÇÃO DE SERVIÇOS PARA CONSERVAÇÃO E INSPEÇÃO DE 01 ELEVADOR, CAPACIDADE 975 KG, 02 PARADAS, MARCA ESCAL, LOCALIZADO NO CRSMRP - MATER, AVENIDA WANDERLEY TAFFO, Nº 330, BAIRRO QUINTINO FACCI II, EM RIBEIRÃO PRETO.</t>
  </si>
  <si>
    <t>PRESTAÇÃO DE SERVIÇOS DE INSTALAÇÃO DE MÁQUINAS FORNECEDORAS DE BEBIDAS QUENTES, FRIAS, LANCHES E OUTROS ALIMENTOS.</t>
  </si>
  <si>
    <t>PRESTAÇÃO DE SERVIÇO PARA IMPLANTAÇÃO DE LINK ÓPTICO COM TOPOLOGIA EM FIBRA ÓPTICA EM PAR MONOMODO, "APAGADA" EM ATÉ 40 DIAS A CONTAR DA ASSINATURA DESTE CONTRATO.</t>
  </si>
  <si>
    <t>12 MESES, A CONTAR DE 01/08/2019</t>
  </si>
  <si>
    <t>12 MESES, A CONTAR DE 15/01/2020</t>
  </si>
  <si>
    <t>12 MESES, A CONTAR DE 01/04/2020</t>
  </si>
  <si>
    <t>12 MESES, A CONTAR DE 29/07/2019</t>
  </si>
  <si>
    <t>12 MESES, A CONTAR DE 01/04/2019</t>
  </si>
  <si>
    <t>12 MESES, A CONTAR DE 15/08/2020</t>
  </si>
  <si>
    <t>12 MESES, A CONTAR DE 25/09/2019</t>
  </si>
  <si>
    <t>12 MESES, A CONTAR DE 01/11/2019</t>
  </si>
  <si>
    <t>12 MESES, A CONTAR DE 09/01/2020</t>
  </si>
  <si>
    <t>12 MESES, A CONTAR DE 20/11/2019</t>
  </si>
  <si>
    <t>12 MESES, A CONTAR DE 30/11/2019</t>
  </si>
  <si>
    <t>12 MESES, A CONTAR DE 01/10/2019</t>
  </si>
  <si>
    <t>12 MESES, A CONTAR DE 10/01/2020</t>
  </si>
  <si>
    <t>12 MESES, A CONTAR DE 16/01/2020</t>
  </si>
  <si>
    <t>12 MESES, A CONTAR DE 03/06/2020</t>
  </si>
  <si>
    <t>12 MESES, A CONTAR DE 04/11/2019</t>
  </si>
  <si>
    <t>12 MESES, A CONTAR DE 19/12/2019</t>
  </si>
  <si>
    <t>12 MESES, A CONTAR DE 02/03/2020</t>
  </si>
  <si>
    <t>12 MESES, A CONTAR DE 28/02/2020</t>
  </si>
  <si>
    <t>12 MESES, A CONTAR DE 09/03/2020</t>
  </si>
  <si>
    <t>12 MESES, A CONTAR DE 01/03/2020</t>
  </si>
  <si>
    <t>12 MESES, A CONTAR DE 24/04/2020</t>
  </si>
  <si>
    <t>12 MESES, A CONTAR DE 26/09/2019</t>
  </si>
  <si>
    <t>12 MESES, A CONTAR DE 08/07/2019</t>
  </si>
  <si>
    <t>12 MESES, A CONTAR DE 04/05/2020</t>
  </si>
  <si>
    <t>12 MESES, A CONTAR DE 18/06/2020</t>
  </si>
  <si>
    <t>12 MESES, A CONTAR DE 16/10/2018</t>
  </si>
  <si>
    <t>12 MESES, A CONTAR DE 30/05/2019</t>
  </si>
  <si>
    <t>05 ANOS, A CONTAR DE 10/12/2019</t>
  </si>
  <si>
    <t>12 MESES, A CONTAR DE 06/01/2020</t>
  </si>
  <si>
    <t>12 MESES, A CONTAR DE 04/04/2020</t>
  </si>
  <si>
    <t>JOSÉ MARIA GONÇALVES</t>
  </si>
  <si>
    <t>131.105.968-73</t>
  </si>
  <si>
    <t>DIMAS L. H. FAUSTO</t>
  </si>
  <si>
    <t>KELLY CEOLIN NERY</t>
  </si>
  <si>
    <t>478.169.028-91</t>
  </si>
  <si>
    <t>NILSON FREIRE TORRES</t>
  </si>
  <si>
    <t>008.136.108-42</t>
  </si>
  <si>
    <t>SILIO CARLOS DE OLIVEIRA</t>
  </si>
  <si>
    <t>002.598.198-67</t>
  </si>
  <si>
    <t>MARA FLAUZINA LONGO</t>
  </si>
  <si>
    <t>ANTÔNIO CARLOS AYRES</t>
  </si>
  <si>
    <t>CAROLINE ESTELA GUSMÃO</t>
  </si>
  <si>
    <t>082.014.378-29</t>
  </si>
  <si>
    <t>DARIO LIVRARI</t>
  </si>
  <si>
    <t>012.817.908-26</t>
  </si>
  <si>
    <t>DECIO LIVRARI</t>
  </si>
  <si>
    <t>221.830.988-21</t>
  </si>
  <si>
    <t>KELNER TEODORO</t>
  </si>
  <si>
    <t>346.169.308.13</t>
  </si>
  <si>
    <t>ANDRESSA ROMERO TEODORO</t>
  </si>
  <si>
    <t>339.193.558-81</t>
  </si>
  <si>
    <t>RODRIGO COIMBRA DE OLIVEIRA</t>
  </si>
  <si>
    <t>MARCO FLÁVIO TENUTO ROSSI</t>
  </si>
  <si>
    <t>339.934.458-99</t>
  </si>
  <si>
    <t>ANDREZA NICOLAU</t>
  </si>
  <si>
    <t>032.250.508-90</t>
  </si>
  <si>
    <t>MILTON HUMBERTO MARTINS</t>
  </si>
  <si>
    <t>131.229.708-56</t>
  </si>
  <si>
    <t>RITA DE CASSIA SOARES LOUSADA</t>
  </si>
  <si>
    <t>373.815.288-19</t>
  </si>
  <si>
    <t>GABRIEL HORÁCIO BASTON E NASCIMENTO</t>
  </si>
  <si>
    <t>248.784.928-21</t>
  </si>
  <si>
    <t>ANA MARIA PADULA</t>
  </si>
  <si>
    <t>098.868.538-83</t>
  </si>
  <si>
    <t>MARIA CLEUZA EZIQUIEL PADULA</t>
  </si>
  <si>
    <t>274.804.118-63</t>
  </si>
  <si>
    <t>HERICA CARDOSO DE SOUZA LEITE</t>
  </si>
  <si>
    <t>419.391.598-06</t>
  </si>
  <si>
    <t>FRANCISCO FAVARETTO VIEIRA</t>
  </si>
  <si>
    <t>4/2019</t>
  </si>
  <si>
    <t>151/2019</t>
  </si>
  <si>
    <t>111 / 2019</t>
  </si>
  <si>
    <t xml:space="preserve"> 294 / 2019</t>
  </si>
  <si>
    <t xml:space="preserve"> 336 / 2019</t>
  </si>
  <si>
    <t xml:space="preserve"> 39 / 2020</t>
  </si>
  <si>
    <t xml:space="preserve"> 46 / 2020</t>
  </si>
  <si>
    <t xml:space="preserve"> 72 / 2020</t>
  </si>
  <si>
    <t>58 / 2020</t>
  </si>
  <si>
    <t>108 / 2020</t>
  </si>
  <si>
    <t xml:space="preserve"> 250 / 2019</t>
  </si>
  <si>
    <t xml:space="preserve"> 179 / 2019</t>
  </si>
  <si>
    <t>142 / 2020</t>
  </si>
  <si>
    <t>223 / 2018</t>
  </si>
  <si>
    <t>122 / 2019</t>
  </si>
  <si>
    <t>17 / 2015</t>
  </si>
  <si>
    <t>17 / 2020</t>
  </si>
  <si>
    <t>6 / 2020</t>
  </si>
  <si>
    <t>RELAÇÃO DE CONTRATOS - CENTRO DE REFERÊNCIA DA SAÚDE DA MULHER - MATER - EXERCÍCIO 2019 E JANEIRO A JUNHO DE 2020</t>
  </si>
  <si>
    <t>Data Assinatura</t>
  </si>
  <si>
    <t>Número</t>
  </si>
  <si>
    <t>Nome do Contratado</t>
  </si>
  <si>
    <t>Vigência 2020</t>
  </si>
  <si>
    <t>Valor Pago no Exercício 2019 (R$)</t>
  </si>
  <si>
    <t>Valor Pago no Exercício 2020 (R$)</t>
  </si>
  <si>
    <t>Sócio 4</t>
  </si>
  <si>
    <t>Sócio 5</t>
  </si>
  <si>
    <t>Sócio 6</t>
  </si>
  <si>
    <t>Sócio 7</t>
  </si>
  <si>
    <t>Sócio 8</t>
  </si>
  <si>
    <t>Sócio 9</t>
  </si>
  <si>
    <t>Sócio 10</t>
  </si>
  <si>
    <t>Sócio 11</t>
  </si>
  <si>
    <t>Sócio 12</t>
  </si>
  <si>
    <t>Sócio 13</t>
  </si>
  <si>
    <t>Sócio 14</t>
  </si>
  <si>
    <t>Sócio 15</t>
  </si>
  <si>
    <t>Sócio 16</t>
  </si>
  <si>
    <t>Sócio 17</t>
  </si>
  <si>
    <t>Sócio 18</t>
  </si>
  <si>
    <t>Sócio 19</t>
  </si>
  <si>
    <t>Sócio 20</t>
  </si>
  <si>
    <t>Sócio 21</t>
  </si>
  <si>
    <t>Sócio 22</t>
  </si>
  <si>
    <t>Sócio 23</t>
  </si>
  <si>
    <t>Sócio 24</t>
  </si>
  <si>
    <t>784.999.921-53</t>
  </si>
  <si>
    <t>ALEXANDRE FERREIRA BUENO</t>
  </si>
  <si>
    <t>GEO VISION SOLUCOES AMBIENTAIS E ENERGIA S/A</t>
  </si>
  <si>
    <t>029.429.037-08</t>
  </si>
  <si>
    <t>JULIO CESAR DE SA VOLOTAO</t>
  </si>
  <si>
    <t>NGA NUCLEO DE GERENCIAMENTO AMBIENTAL LTDA</t>
  </si>
  <si>
    <t>313.538.838-76</t>
  </si>
  <si>
    <t>THIAGO FERNANDES</t>
  </si>
  <si>
    <t>688.408.020-53</t>
  </si>
  <si>
    <t xml:space="preserve">ALAIN BENVENUTI </t>
  </si>
  <si>
    <t>093.591.498-61</t>
  </si>
  <si>
    <t xml:space="preserve">ANDERSON TEODORO DA CUNHA </t>
  </si>
  <si>
    <t>997.554.913-68</t>
  </si>
  <si>
    <t xml:space="preserve">BRUNO CALS DE OLIVEIRA </t>
  </si>
  <si>
    <t>368.999.413-68</t>
  </si>
  <si>
    <t xml:space="preserve">CANDIDO PINHEIRO KOREN DE LIMA JUNIOR </t>
  </si>
  <si>
    <t>367.228.638-91</t>
  </si>
  <si>
    <t xml:space="preserve">CANDIDO PINHEIRO KOREN DE LIMA </t>
  </si>
  <si>
    <t>382.573.358-00</t>
  </si>
  <si>
    <t xml:space="preserve">CARMEN LEIA DE SOUZA </t>
  </si>
  <si>
    <t>691.235.518-87</t>
  </si>
  <si>
    <t xml:space="preserve">CELSO HERMINIO FERRAZ PICADO </t>
  </si>
  <si>
    <t>125.560.848-04</t>
  </si>
  <si>
    <t xml:space="preserve">CELSO JUNQUEIRA BARROS </t>
  </si>
  <si>
    <t xml:space="preserve">CLINICA CIR. CARDIOTORAXICA CT LTDA </t>
  </si>
  <si>
    <t>124.365.807-07</t>
  </si>
  <si>
    <t xml:space="preserve">ERIK JOHNSON LASSNER </t>
  </si>
  <si>
    <t>026.560.358-72</t>
  </si>
  <si>
    <t xml:space="preserve">EZIO EDWARD LUCHIARI </t>
  </si>
  <si>
    <t xml:space="preserve">FABIO EDUARDO FERREIRA MUSA </t>
  </si>
  <si>
    <t xml:space="preserve">FUNDACAO EDUCANDARIO CEL. QUITO JUNQUEIRA </t>
  </si>
  <si>
    <t xml:space="preserve">FUNDACAO WALDEMAR BARNSLEY PESSOA </t>
  </si>
  <si>
    <t xml:space="preserve">FUNDACO SINHA JUNQUEIRA </t>
  </si>
  <si>
    <t>144.388.523-15</t>
  </si>
  <si>
    <t xml:space="preserve">GERALDO LUCIANO MATTOS JUNIOR </t>
  </si>
  <si>
    <t>570.132.507-59</t>
  </si>
  <si>
    <t xml:space="preserve">GERSON LUIS DOS SANTOS </t>
  </si>
  <si>
    <t xml:space="preserve">GSFRP PARTICIPACOES S.A </t>
  </si>
  <si>
    <t>391.904.473-87</t>
  </si>
  <si>
    <t xml:space="preserve">GUSTAVO CHAVES BARROS DE OLIVEIRA </t>
  </si>
  <si>
    <t xml:space="preserve">IRMEV LTDA </t>
  </si>
  <si>
    <t>456.493.243-87</t>
  </si>
  <si>
    <t xml:space="preserve">JORGE FONTOURA PINHEIRO KOREN DE LIMA </t>
  </si>
  <si>
    <t>611.942.988-34</t>
  </si>
  <si>
    <t xml:space="preserve">JOSE CASSIANO MACHADO </t>
  </si>
  <si>
    <t>980.680.838-04</t>
  </si>
  <si>
    <t xml:space="preserve">JOSE EDUARDO BERNARDES </t>
  </si>
  <si>
    <t>591.401.868-49</t>
  </si>
  <si>
    <t xml:space="preserve">JOSE EDUARDO BRUNALDI </t>
  </si>
  <si>
    <t>019.768.808-07</t>
  </si>
  <si>
    <t xml:space="preserve">JOSE MIRANDA CRUZ NETO </t>
  </si>
  <si>
    <t>084.743.458-39</t>
  </si>
  <si>
    <t xml:space="preserve">JULIO FERRAZ BRAGA NETO </t>
  </si>
  <si>
    <t>214.487.188-48</t>
  </si>
  <si>
    <t xml:space="preserve">LICIO TAVARES ANGELO CINTRA </t>
  </si>
  <si>
    <t>159.963.128-83</t>
  </si>
  <si>
    <t xml:space="preserve">MARCELO ADRIANO MUCCI </t>
  </si>
  <si>
    <t>220.418.776-34</t>
  </si>
  <si>
    <t xml:space="preserve">MARCIO LUIZ SIMOES UTSCH </t>
  </si>
  <si>
    <t>181.148.408-54</t>
  </si>
  <si>
    <t xml:space="preserve">PAULO ROGERIO SANTINI GABRIEL </t>
  </si>
  <si>
    <t>137.768.946-87</t>
  </si>
  <si>
    <t xml:space="preserve">ROBERTO ANTONIO MENDES </t>
  </si>
  <si>
    <t>189.437.308-10</t>
  </si>
  <si>
    <t xml:space="preserve">ROBERTO CORREIA GUSMAO </t>
  </si>
  <si>
    <t>062.642.488-78</t>
  </si>
  <si>
    <t xml:space="preserve">SANDRA DE BARROS DA ROCHA PICADO </t>
  </si>
  <si>
    <t xml:space="preserve">TESOURARIA </t>
  </si>
  <si>
    <t>042.479.798-41</t>
  </si>
  <si>
    <t>WILSON CARNEVALLI FILHO</t>
  </si>
  <si>
    <t>010.376.616-21</t>
  </si>
  <si>
    <t xml:space="preserve">ADRIANA SOARES FOGACA DE AGUIAR </t>
  </si>
  <si>
    <t>215.277.968-17</t>
  </si>
  <si>
    <t xml:space="preserve">ALEXANDRE MAITTO CAPUTO </t>
  </si>
  <si>
    <t>013.287.416-48</t>
  </si>
  <si>
    <t xml:space="preserve">ANA BEATRIZ FURTADO DE SOUZA </t>
  </si>
  <si>
    <t>337.876.838-01</t>
  </si>
  <si>
    <t xml:space="preserve">ANAISA CAPARROZ DUARTE SAVENHAGO </t>
  </si>
  <si>
    <t>974.020.106-78</t>
  </si>
  <si>
    <t xml:space="preserve">ANTONIO PEREIRA DE SOUZA FILHO </t>
  </si>
  <si>
    <t>054.621.976-40</t>
  </si>
  <si>
    <t xml:space="preserve">BRUNO CARVALHO PORTES LOPES </t>
  </si>
  <si>
    <t>225.181.168-00</t>
  </si>
  <si>
    <t xml:space="preserve">CARLOS EDUARDO MOREIRA DE FREITAS </t>
  </si>
  <si>
    <t>265.921.078-04</t>
  </si>
  <si>
    <t xml:space="preserve">CLAUDIA REGINA DA COSTA FREITAS </t>
  </si>
  <si>
    <t>100.991.558-42</t>
  </si>
  <si>
    <t xml:space="preserve">CLAUDIO TOLLER URSOLINO </t>
  </si>
  <si>
    <t xml:space="preserve">COTA EM TESOURARIA </t>
  </si>
  <si>
    <t>074.232.266-10</t>
  </si>
  <si>
    <t xml:space="preserve">EDILAINE CRISTIAN MELO </t>
  </si>
  <si>
    <t>568.733.877-20</t>
  </si>
  <si>
    <t xml:space="preserve">ELISABETH GUZZO </t>
  </si>
  <si>
    <t>046.532.746-06</t>
  </si>
  <si>
    <t xml:space="preserve">EVERTON NUNES DE MELO MOURA </t>
  </si>
  <si>
    <t>248.801.988-70</t>
  </si>
  <si>
    <t xml:space="preserve">GUILHERME CARDOSO DE MELO </t>
  </si>
  <si>
    <t>285.630.598-90</t>
  </si>
  <si>
    <t xml:space="preserve">GUILHERME ZEMI </t>
  </si>
  <si>
    <t>262.028.748-05</t>
  </si>
  <si>
    <t xml:space="preserve">HIROAKI FURUYA </t>
  </si>
  <si>
    <t>122.394.928-13</t>
  </si>
  <si>
    <t xml:space="preserve">JOSE ROBERTO DE ABREU VAZ </t>
  </si>
  <si>
    <t>374.284.200-59</t>
  </si>
  <si>
    <t xml:space="preserve">LEANDRO GONCALVES </t>
  </si>
  <si>
    <t>337.681.778-23</t>
  </si>
  <si>
    <t xml:space="preserve">LENISE YOSHIMI KAYANO LOPES </t>
  </si>
  <si>
    <t>324.333.408-02</t>
  </si>
  <si>
    <t xml:space="preserve">MATEUS LEANDRO PERES </t>
  </si>
  <si>
    <t>220.627.028-50</t>
  </si>
  <si>
    <t xml:space="preserve">NATALIA MANZONI CABRERA ALVES </t>
  </si>
  <si>
    <t>326.306.158-55</t>
  </si>
  <si>
    <t xml:space="preserve">RAFAEL DRUZZILI PELIZARO </t>
  </si>
  <si>
    <t>310.596.028-73</t>
  </si>
  <si>
    <t xml:space="preserve">RAFAEL RISSATO FERREIRA </t>
  </si>
  <si>
    <t>059.664.216-41</t>
  </si>
  <si>
    <t xml:space="preserve">RENATO LUCAS PASSOS DE SOUZA </t>
  </si>
  <si>
    <t>165.482.038-52</t>
  </si>
  <si>
    <t xml:space="preserve">RODOLFO OLIVEIRA GARCIA </t>
  </si>
  <si>
    <t>029.338.278-67</t>
  </si>
  <si>
    <t xml:space="preserve">SILVIA HELENA MENDES DE ALMEIDA MORAES  </t>
  </si>
  <si>
    <t>279.449.588-73</t>
  </si>
  <si>
    <t xml:space="preserve">PATRICIA FERRAZ MUSA CINTRA </t>
  </si>
  <si>
    <t>ULTRA SOM SERVICOS MEDICOS S.A.</t>
  </si>
  <si>
    <t>ALEXANDRE AUGUSTO BASSANEZE</t>
  </si>
  <si>
    <t>249.862.538-08</t>
  </si>
  <si>
    <t>ANDERSON VALENTIN BONVENTI</t>
  </si>
  <si>
    <t>056.176.028-45</t>
  </si>
  <si>
    <t>ARLIQUIDO COMERCIAL LTDA</t>
  </si>
  <si>
    <t>ETIENNE ALAIN MARIE LEPOUTRE</t>
  </si>
  <si>
    <t>242.993.118-41</t>
  </si>
  <si>
    <t>FABIO ANTONIO NASCIMENTO</t>
  </si>
  <si>
    <t>575.329.580-00</t>
  </si>
  <si>
    <t>FERNANDO BONONI JUNIOR</t>
  </si>
  <si>
    <t>302.317.358-39</t>
  </si>
  <si>
    <t>214.787.588-05</t>
  </si>
  <si>
    <t xml:space="preserve">CASSIO DE SOUSA FREITAS </t>
  </si>
  <si>
    <t>338.986.848-81</t>
  </si>
  <si>
    <t xml:space="preserve">CIBELE CRISTINA LUCIANO MARQUES </t>
  </si>
  <si>
    <t xml:space="preserve">COOPERATIVA DOS ANESTESIOLOGISTAS DE RIBEIRAO PRETO - COOPAN </t>
  </si>
  <si>
    <t>274.616.008-00</t>
  </si>
  <si>
    <t xml:space="preserve">FAUSTO RICARDO BAUNGARTEL </t>
  </si>
  <si>
    <t>287.193.328-66</t>
  </si>
  <si>
    <t xml:space="preserve">GUILHERME FRANCISCO GUIDUGLI CUNHA </t>
  </si>
  <si>
    <t>102.759.868-45</t>
  </si>
  <si>
    <t xml:space="preserve">HERMINIO RIGHETI JUNIOR </t>
  </si>
  <si>
    <t xml:space="preserve">LENISE YOSHIMI KAYANO </t>
  </si>
  <si>
    <t>369.439.818-03</t>
  </si>
  <si>
    <t xml:space="preserve">LUCAS MERINO VERCESI </t>
  </si>
  <si>
    <t>054.301.317-09</t>
  </si>
  <si>
    <t xml:space="preserve">LUCIANA MORAES DOS SANTOS </t>
  </si>
  <si>
    <t>315.063.638-81</t>
  </si>
  <si>
    <t xml:space="preserve">MARCEL BRANDOLISE TAKAGI </t>
  </si>
  <si>
    <t>397.730.028-88</t>
  </si>
  <si>
    <t xml:space="preserve">MARCELO ANDREI PORSANI GONCALVES </t>
  </si>
  <si>
    <t>753.900.606-44</t>
  </si>
  <si>
    <t xml:space="preserve">MARCOS VINICIUS VIEIRA HORTA </t>
  </si>
  <si>
    <t>069.794.912-53</t>
  </si>
  <si>
    <t xml:space="preserve">MARIA DA GLORIA BRIGIDO LINTZ </t>
  </si>
  <si>
    <t>017.439.260-57</t>
  </si>
  <si>
    <t xml:space="preserve">NADINE DAVID FERRI </t>
  </si>
  <si>
    <t>023.975.149-31</t>
  </si>
  <si>
    <t>THIAGO RANDO BEZERRA</t>
  </si>
  <si>
    <t>39 / 2016</t>
  </si>
  <si>
    <t>36 / 2017</t>
  </si>
  <si>
    <t>210 / 2018</t>
  </si>
  <si>
    <t>89 / 2015</t>
  </si>
  <si>
    <t>153 / 2016</t>
  </si>
  <si>
    <t>109 / 2016</t>
  </si>
  <si>
    <t>145 / 2014</t>
  </si>
  <si>
    <t>280 / 2018</t>
  </si>
  <si>
    <t>12 MESES, a contar de 10/01/2019</t>
  </si>
  <si>
    <t>99 / 2017</t>
  </si>
  <si>
    <t>123 / 2017</t>
  </si>
  <si>
    <t>196 / 2016</t>
  </si>
  <si>
    <t>5 / 2015</t>
  </si>
  <si>
    <t>107.939.238-67</t>
  </si>
  <si>
    <t xml:space="preserve">ANDREA STEVANATTO </t>
  </si>
  <si>
    <t>356.579.328-70</t>
  </si>
  <si>
    <t xml:space="preserve">FELIPE STEVANATTO SAMPAIO </t>
  </si>
  <si>
    <t>152.504.898-85</t>
  </si>
  <si>
    <t xml:space="preserve">IRIS SCUSSEL STEVANATTO </t>
  </si>
  <si>
    <t xml:space="preserve">JMS PARTICIPACOES LTDA </t>
  </si>
  <si>
    <t>221.011.758-51</t>
  </si>
  <si>
    <t xml:space="preserve">KARIME BITTAR STEVANATTO GEROLIN </t>
  </si>
  <si>
    <t>865.890.838-00</t>
  </si>
  <si>
    <t xml:space="preserve">LUIZ STEVANATTO NETO </t>
  </si>
  <si>
    <t xml:space="preserve">OCP PARTICIPACOES LTDA </t>
  </si>
  <si>
    <t>014.645.078-72</t>
  </si>
  <si>
    <t xml:space="preserve">OGARI DE CASTRO PACHECO </t>
  </si>
  <si>
    <t>158.634.408-05</t>
  </si>
  <si>
    <t xml:space="preserve">RENATA PACHECO CARVALHO SANTOS </t>
  </si>
  <si>
    <t>184.309.758-37</t>
  </si>
  <si>
    <t xml:space="preserve">RICARDO SANTOS PACHECO </t>
  </si>
  <si>
    <t>191.122.338-03</t>
  </si>
  <si>
    <t xml:space="preserve">ROGERIO SANTOS PACHECO </t>
  </si>
  <si>
    <t>346.731.198-94</t>
  </si>
  <si>
    <t>THIAGO STEVANATTO SAMPAIO</t>
  </si>
  <si>
    <t>ENCERRADO</t>
  </si>
  <si>
    <t>Sócio 25</t>
  </si>
  <si>
    <t>Sócio 26</t>
  </si>
  <si>
    <t>Sócio 27</t>
  </si>
  <si>
    <t>Sócio 28</t>
  </si>
  <si>
    <t>Sócio 29</t>
  </si>
  <si>
    <t>Sócio 30</t>
  </si>
  <si>
    <t>Sócio 31</t>
  </si>
  <si>
    <t>Sócio 32</t>
  </si>
  <si>
    <t>Sócio 33</t>
  </si>
  <si>
    <t>Sócio 34</t>
  </si>
  <si>
    <t>Sócio 35</t>
  </si>
  <si>
    <t>Sócio 36</t>
  </si>
  <si>
    <t>08.303.561/0001-71</t>
  </si>
  <si>
    <t>06.879.486/0001-66</t>
  </si>
  <si>
    <t>12.361.267/0001-93</t>
  </si>
  <si>
    <t>52.393.014/0001-16</t>
  </si>
  <si>
    <t>10.963.608/0001-75</t>
  </si>
  <si>
    <t>12 / 2015</t>
  </si>
  <si>
    <t>2 / 2016</t>
  </si>
  <si>
    <t xml:space="preserve"> - </t>
  </si>
  <si>
    <t xml:space="preserve"> -</t>
  </si>
  <si>
    <t>-</t>
  </si>
  <si>
    <t>55.998.546/0001-75</t>
  </si>
  <si>
    <t>56.893.209/0001-86</t>
  </si>
  <si>
    <t>60.891.884/0002-24</t>
  </si>
  <si>
    <t>46.939.567/0001-29</t>
  </si>
  <si>
    <t>956.468.927-91</t>
  </si>
  <si>
    <t>VINICIUS DE ALMEIDA BIASOLI</t>
  </si>
  <si>
    <t>217.794.817-72</t>
  </si>
  <si>
    <t>MARCIO MENDES BIASOLI</t>
  </si>
  <si>
    <t>12 MESES, a contar de 21/04/2019</t>
  </si>
  <si>
    <t>05 ANOS, A CONTAR DE 10/12/2015</t>
  </si>
  <si>
    <t>12 MESES, A CONTAR DE 09/01/2019</t>
  </si>
  <si>
    <t>12 MESES, A CONTAR DE 15/01/2019</t>
  </si>
  <si>
    <t>36 MESES, A CONTAR DE 12/05/2016</t>
  </si>
  <si>
    <t>36 MESES, A CONTAR DE 12/05/2019</t>
  </si>
  <si>
    <t>03 MESES, A CONTAR DE 01/12/2019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</si>
</sst>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8" formatCode="&quot;R$&quot;\ #,##0.00;[Red]\-&quot;R$&quot;\ #,##0.00"/>
    <numFmt numFmtId="43" formatCode="_-* #,##0.00_-;\-* #,##0.00_-;_-* &quot;-&quot;??_-;_-@_-"/>
    <numFmt numFmtId="164" formatCode="[$-10416]dd/mm/yyyy"/>
    <numFmt numFmtId="165" formatCode="[$-10416]&quot;R$&quot;#,##0.00"/>
  </numFmts>
  <fonts count="18" x14ac:knownFonts="1">
    <font>
      <sz val="11"/>
      <color theme="1"/>
      <name val="Calibri"/>
      <family val="2"/>
      <scheme val="minor"/>
    </font>
    <font>
      <sz val="12"/>
      <color theme="1"/>
      <name val="Times New Roman"/>
      <family val="1"/>
    </font>
    <font>
      <b/>
      <sz val="12"/>
      <color theme="1"/>
      <name val="Times New Roman"/>
      <family val="1"/>
    </font>
    <font>
      <sz val="11"/>
      <color theme="1"/>
      <name val="Calibri"/>
      <family val="2"/>
      <scheme val="minor"/>
    </font>
    <font>
      <sz val="8"/>
      <color rgb="FF000000"/>
      <name val="Arial"/>
      <family val="2"/>
    </font>
    <font>
      <b/>
      <sz val="14"/>
      <color indexed="8"/>
      <name val="Microsoft Sans Serif"/>
      <family val="2"/>
    </font>
    <font>
      <b/>
      <sz val="7"/>
      <color indexed="8"/>
      <name val="Arial"/>
      <family val="2"/>
    </font>
    <font>
      <sz val="8"/>
      <color indexed="8"/>
      <name val="Arial"/>
      <family val="2"/>
    </font>
    <font>
      <sz val="10"/>
      <color theme="1"/>
      <name val="Times New Roman"/>
      <family val="1"/>
    </font>
    <font>
      <sz val="10"/>
      <color theme="1"/>
      <name val="Arial"/>
      <family val="2"/>
    </font>
    <font>
      <sz val="11"/>
      <color rgb="FFFF0000"/>
      <name val="Calibri"/>
      <family val="2"/>
      <scheme val="minor"/>
    </font>
    <font>
      <sz val="8"/>
      <color theme="1"/>
      <name val="Arial"/>
      <family val="2"/>
    </font>
    <font>
      <sz val="8"/>
      <color rgb="FFFF0000"/>
      <name val="Arial"/>
      <family val="2"/>
    </font>
    <font>
      <b/>
      <sz val="12"/>
      <color theme="1"/>
      <name val="Arial"/>
      <family val="2"/>
    </font>
    <font>
      <b/>
      <sz val="10"/>
      <color theme="1"/>
      <name val="Arial"/>
      <family val="2"/>
    </font>
    <font>
      <b/>
      <sz val="10"/>
      <color rgb="FF000000"/>
      <name val="Arial"/>
      <family val="2"/>
    </font>
    <font>
      <sz val="8"/>
      <name val="Arial"/>
      <family val="2"/>
    </font>
    <font>
      <sz val="11"/>
      <name val="Calibri"/>
      <family val="2"/>
      <scheme val="minor"/>
    </font>
  </fonts>
  <fills count="7">
    <fill>
      <patternFill patternType="none"/>
    </fill>
    <fill>
      <patternFill patternType="gray125"/>
    </fill>
    <fill>
      <patternFill patternType="solid">
        <fgColor indexed="9"/>
        <bgColor indexed="0"/>
      </patternFill>
    </fill>
    <fill>
      <patternFill patternType="solid">
        <fgColor rgb="FFFFFF99"/>
        <bgColor indexed="64"/>
      </patternFill>
    </fill>
    <fill>
      <patternFill patternType="solid">
        <fgColor rgb="FFD9D9D9"/>
        <bgColor indexed="64"/>
      </patternFill>
    </fill>
    <fill>
      <patternFill patternType="solid">
        <fgColor rgb="FFFFFF66"/>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9"/>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s>
  <cellStyleXfs count="2">
    <xf numFmtId="0" fontId="0" fillId="0" borderId="0"/>
    <xf numFmtId="43" fontId="3" fillId="0" borderId="0" applyFont="0" applyFill="0" applyBorder="0" applyAlignment="0" applyProtection="0"/>
  </cellStyleXfs>
  <cellXfs count="184">
    <xf numFmtId="0" fontId="0" fillId="0" borderId="0" xfId="0"/>
    <xf numFmtId="0" fontId="1" fillId="0" borderId="0" xfId="0" applyFont="1" applyAlignment="1">
      <alignment horizontal="center" vertical="center"/>
    </xf>
    <xf numFmtId="0" fontId="0" fillId="0" borderId="0" xfId="0" applyFill="1"/>
    <xf numFmtId="43" fontId="0" fillId="0" borderId="0" xfId="1" applyFont="1" applyAlignment="1">
      <alignment horizontal="center"/>
    </xf>
    <xf numFmtId="0" fontId="0" fillId="0" borderId="0" xfId="0" applyAlignment="1">
      <alignment horizontal="center"/>
    </xf>
    <xf numFmtId="0" fontId="4" fillId="0" borderId="1" xfId="0" applyFont="1" applyFill="1" applyBorder="1" applyAlignment="1">
      <alignment vertical="center" wrapText="1"/>
    </xf>
    <xf numFmtId="0" fontId="6" fillId="2" borderId="2" xfId="0" applyFont="1" applyFill="1" applyBorder="1" applyAlignment="1" applyProtection="1">
      <alignment horizontal="center" vertical="center" wrapText="1" readingOrder="1"/>
      <protection locked="0"/>
    </xf>
    <xf numFmtId="0" fontId="7" fillId="0" borderId="2" xfId="0" applyFont="1" applyBorder="1" applyAlignment="1" applyProtection="1">
      <alignment horizontal="center" vertical="top" wrapText="1" readingOrder="1"/>
      <protection locked="0"/>
    </xf>
    <xf numFmtId="0" fontId="7" fillId="0" borderId="2" xfId="0" applyFont="1" applyBorder="1" applyAlignment="1" applyProtection="1">
      <alignment horizontal="left" vertical="top" wrapText="1" readingOrder="1"/>
      <protection locked="0"/>
    </xf>
    <xf numFmtId="165" fontId="7" fillId="0" borderId="2" xfId="0" applyNumberFormat="1" applyFont="1" applyBorder="1" applyAlignment="1" applyProtection="1">
      <alignment horizontal="center" vertical="top" wrapText="1" readingOrder="1"/>
      <protection locked="0"/>
    </xf>
    <xf numFmtId="0" fontId="7" fillId="0" borderId="2" xfId="0" applyFont="1" applyBorder="1" applyAlignment="1" applyProtection="1">
      <alignment vertical="top" wrapText="1" readingOrder="1"/>
      <protection locked="0"/>
    </xf>
    <xf numFmtId="0" fontId="4" fillId="0" borderId="0" xfId="0" applyFont="1" applyFill="1" applyBorder="1" applyAlignment="1">
      <alignment horizontal="center" vertical="center" wrapText="1"/>
    </xf>
    <xf numFmtId="14" fontId="4" fillId="0" borderId="1" xfId="0" applyNumberFormat="1" applyFont="1" applyFill="1" applyBorder="1" applyAlignment="1">
      <alignment vertical="center" wrapText="1"/>
    </xf>
    <xf numFmtId="43" fontId="4" fillId="0" borderId="1" xfId="1" applyFont="1" applyFill="1" applyBorder="1" applyAlignment="1">
      <alignment vertical="center" wrapText="1"/>
    </xf>
    <xf numFmtId="0" fontId="0" fillId="0" borderId="0" xfId="0" applyFill="1" applyAlignment="1">
      <alignment wrapText="1"/>
    </xf>
    <xf numFmtId="0" fontId="4" fillId="0" borderId="5" xfId="0" applyFont="1" applyFill="1" applyBorder="1" applyAlignment="1">
      <alignment vertical="center" wrapText="1"/>
    </xf>
    <xf numFmtId="0" fontId="0" fillId="0" borderId="0" xfId="0" applyFill="1" applyAlignment="1">
      <alignment horizontal="center"/>
    </xf>
    <xf numFmtId="0" fontId="8" fillId="0" borderId="1" xfId="0" applyFont="1" applyFill="1" applyBorder="1" applyAlignment="1">
      <alignment vertical="center" wrapText="1"/>
    </xf>
    <xf numFmtId="0" fontId="7" fillId="0" borderId="1" xfId="0" applyFont="1" applyFill="1" applyBorder="1" applyAlignment="1" applyProtection="1">
      <alignment horizontal="left" vertical="center" wrapText="1" readingOrder="1"/>
      <protection locked="0"/>
    </xf>
    <xf numFmtId="0" fontId="1" fillId="0" borderId="0" xfId="0" applyFont="1" applyFill="1" applyAlignment="1">
      <alignment horizontal="center" vertical="center"/>
    </xf>
    <xf numFmtId="0" fontId="2" fillId="0" borderId="0" xfId="0" applyFont="1" applyFill="1" applyAlignment="1"/>
    <xf numFmtId="43" fontId="0" fillId="0" borderId="0" xfId="1" applyFont="1" applyFill="1" applyAlignment="1">
      <alignment horizontal="center"/>
    </xf>
    <xf numFmtId="0" fontId="4" fillId="0" borderId="6" xfId="0" applyFont="1" applyFill="1" applyBorder="1" applyAlignment="1">
      <alignment vertical="center" wrapText="1"/>
    </xf>
    <xf numFmtId="0" fontId="4" fillId="3" borderId="1" xfId="0" applyFont="1" applyFill="1" applyBorder="1" applyAlignment="1">
      <alignment vertical="center" wrapText="1"/>
    </xf>
    <xf numFmtId="0" fontId="9" fillId="0" borderId="0" xfId="0" applyFont="1"/>
    <xf numFmtId="0" fontId="0" fillId="0" borderId="0" xfId="0"/>
    <xf numFmtId="0" fontId="0" fillId="0" borderId="0" xfId="0"/>
    <xf numFmtId="0" fontId="9" fillId="0" borderId="0" xfId="0" applyFont="1" applyFill="1" applyAlignment="1">
      <alignment wrapText="1"/>
    </xf>
    <xf numFmtId="17" fontId="4" fillId="0" borderId="1" xfId="0" applyNumberFormat="1" applyFont="1" applyBorder="1" applyAlignment="1">
      <alignment vertical="center" wrapText="1"/>
    </xf>
    <xf numFmtId="17" fontId="4" fillId="0" borderId="6" xfId="0" applyNumberFormat="1" applyFont="1" applyBorder="1" applyAlignment="1">
      <alignment vertical="center" wrapText="1"/>
    </xf>
    <xf numFmtId="17" fontId="4" fillId="0" borderId="5" xfId="0" applyNumberFormat="1" applyFont="1" applyBorder="1" applyAlignment="1">
      <alignment vertical="center" wrapText="1"/>
    </xf>
    <xf numFmtId="0" fontId="4" fillId="0" borderId="1" xfId="0" applyFont="1" applyBorder="1" applyAlignment="1">
      <alignment vertical="center" wrapText="1"/>
    </xf>
    <xf numFmtId="0" fontId="8" fillId="0" borderId="1" xfId="0" applyFont="1" applyBorder="1" applyAlignment="1">
      <alignment vertical="center" wrapText="1"/>
    </xf>
    <xf numFmtId="14" fontId="4" fillId="0" borderId="1" xfId="0" applyNumberFormat="1" applyFont="1" applyBorder="1" applyAlignment="1">
      <alignment vertical="center" wrapText="1"/>
    </xf>
    <xf numFmtId="8" fontId="4" fillId="0" borderId="1" xfId="0" applyNumberFormat="1" applyFont="1" applyFill="1" applyBorder="1" applyAlignment="1">
      <alignment vertical="center" wrapText="1"/>
    </xf>
    <xf numFmtId="0" fontId="7" fillId="0" borderId="6" xfId="0" applyFont="1" applyFill="1" applyBorder="1" applyAlignment="1" applyProtection="1">
      <alignment horizontal="left" vertical="center" wrapText="1" readingOrder="1"/>
      <protection locked="0"/>
    </xf>
    <xf numFmtId="0" fontId="7" fillId="0" borderId="5" xfId="0" applyFont="1" applyFill="1" applyBorder="1" applyAlignment="1" applyProtection="1">
      <alignment vertical="center" wrapText="1" readingOrder="1"/>
      <protection locked="0"/>
    </xf>
    <xf numFmtId="0" fontId="4" fillId="0" borderId="6" xfId="0" applyFont="1" applyBorder="1" applyAlignment="1">
      <alignment vertical="center" wrapText="1"/>
    </xf>
    <xf numFmtId="0" fontId="4" fillId="0" borderId="5" xfId="0" applyFont="1" applyBorder="1" applyAlignment="1">
      <alignment vertical="center" wrapText="1"/>
    </xf>
    <xf numFmtId="0" fontId="4" fillId="3" borderId="6" xfId="0" applyFont="1" applyFill="1" applyBorder="1" applyAlignment="1">
      <alignment vertical="center" wrapText="1"/>
    </xf>
    <xf numFmtId="49" fontId="0" fillId="0" borderId="0" xfId="0" applyNumberFormat="1" applyFill="1" applyAlignment="1">
      <alignment horizontal="center"/>
    </xf>
    <xf numFmtId="49" fontId="4" fillId="0" borderId="1" xfId="0" applyNumberFormat="1" applyFont="1" applyFill="1" applyBorder="1" applyAlignment="1">
      <alignment vertical="center" wrapText="1"/>
    </xf>
    <xf numFmtId="49" fontId="0" fillId="0" borderId="0" xfId="0" applyNumberFormat="1" applyAlignment="1">
      <alignment horizontal="center"/>
    </xf>
    <xf numFmtId="49" fontId="4" fillId="0" borderId="1" xfId="0" applyNumberFormat="1" applyFont="1" applyFill="1" applyBorder="1" applyAlignment="1">
      <alignment horizontal="left" vertical="center" wrapText="1"/>
    </xf>
    <xf numFmtId="49" fontId="4" fillId="0" borderId="1" xfId="0" applyNumberFormat="1" applyFont="1" applyBorder="1" applyAlignment="1">
      <alignment horizontal="left" vertical="center" wrapText="1"/>
    </xf>
    <xf numFmtId="14" fontId="4" fillId="0" borderId="5" xfId="0" applyNumberFormat="1" applyFont="1" applyBorder="1" applyAlignment="1">
      <alignment vertical="center" wrapText="1"/>
    </xf>
    <xf numFmtId="14" fontId="4" fillId="0" borderId="6" xfId="0" applyNumberFormat="1" applyFont="1" applyBorder="1" applyAlignment="1">
      <alignment vertical="center" wrapText="1"/>
    </xf>
    <xf numFmtId="49" fontId="4" fillId="0" borderId="5" xfId="0" applyNumberFormat="1" applyFont="1" applyBorder="1" applyAlignment="1">
      <alignment horizontal="left" vertical="center" wrapText="1"/>
    </xf>
    <xf numFmtId="49" fontId="4" fillId="0" borderId="6" xfId="0" applyNumberFormat="1" applyFont="1" applyBorder="1" applyAlignment="1">
      <alignment horizontal="left" vertical="center" wrapText="1"/>
    </xf>
    <xf numFmtId="0" fontId="4" fillId="0" borderId="1" xfId="0" applyFont="1" applyFill="1" applyBorder="1" applyAlignment="1">
      <alignment wrapText="1"/>
    </xf>
    <xf numFmtId="0" fontId="4" fillId="0" borderId="1" xfId="0" applyFont="1" applyFill="1" applyBorder="1" applyAlignment="1">
      <alignment horizontal="center" vertical="center" wrapText="1"/>
    </xf>
    <xf numFmtId="0" fontId="4" fillId="0" borderId="0" xfId="0" applyFont="1" applyFill="1" applyBorder="1" applyAlignment="1">
      <alignment vertical="center" wrapText="1"/>
    </xf>
    <xf numFmtId="0" fontId="0" fillId="0" borderId="1"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43" fontId="4" fillId="0" borderId="1" xfId="1" applyFont="1" applyFill="1" applyBorder="1" applyAlignment="1">
      <alignment horizontal="center" vertical="center" wrapText="1"/>
    </xf>
    <xf numFmtId="8" fontId="4" fillId="0" borderId="5" xfId="0" applyNumberFormat="1" applyFont="1" applyFill="1" applyBorder="1" applyAlignment="1">
      <alignment vertical="center" wrapText="1"/>
    </xf>
    <xf numFmtId="8" fontId="4" fillId="0" borderId="6" xfId="0" applyNumberFormat="1" applyFont="1" applyFill="1" applyBorder="1" applyAlignment="1">
      <alignment vertical="center" wrapText="1"/>
    </xf>
    <xf numFmtId="43" fontId="4" fillId="0" borderId="0" xfId="1" applyFont="1" applyFill="1" applyBorder="1" applyAlignment="1">
      <alignment vertical="center" wrapText="1"/>
    </xf>
    <xf numFmtId="43" fontId="0" fillId="0" borderId="1" xfId="1" applyFont="1" applyBorder="1" applyAlignment="1">
      <alignment horizontal="center"/>
    </xf>
    <xf numFmtId="43" fontId="4" fillId="0" borderId="0" xfId="1" applyFont="1" applyFill="1" applyBorder="1" applyAlignment="1">
      <alignment horizontal="center" vertical="center" wrapText="1"/>
    </xf>
    <xf numFmtId="43" fontId="0" fillId="0" borderId="5" xfId="1" applyFont="1" applyBorder="1" applyAlignment="1">
      <alignment horizontal="center"/>
    </xf>
    <xf numFmtId="43" fontId="0" fillId="0" borderId="6" xfId="1" applyFont="1" applyBorder="1" applyAlignment="1">
      <alignment horizontal="center"/>
    </xf>
    <xf numFmtId="0" fontId="4" fillId="5" borderId="1" xfId="0" applyFont="1" applyFill="1" applyBorder="1" applyAlignment="1">
      <alignment vertical="center" wrapText="1"/>
    </xf>
    <xf numFmtId="0" fontId="7" fillId="0" borderId="0" xfId="0" applyFont="1" applyFill="1" applyBorder="1" applyAlignment="1" applyProtection="1">
      <alignment vertical="center" wrapText="1" readingOrder="1"/>
      <protection locked="0"/>
    </xf>
    <xf numFmtId="0" fontId="0" fillId="0" borderId="6" xfId="0" applyFill="1" applyBorder="1" applyAlignment="1">
      <alignment wrapText="1"/>
    </xf>
    <xf numFmtId="0" fontId="4" fillId="0" borderId="0" xfId="0" applyFont="1" applyBorder="1" applyAlignment="1">
      <alignment vertical="center" wrapText="1"/>
    </xf>
    <xf numFmtId="0" fontId="0" fillId="0" borderId="5" xfId="0" applyBorder="1"/>
    <xf numFmtId="0" fontId="0" fillId="0" borderId="1" xfId="0" applyFill="1" applyBorder="1" applyAlignment="1">
      <alignment wrapText="1"/>
    </xf>
    <xf numFmtId="164" fontId="7" fillId="6" borderId="6" xfId="0" applyNumberFormat="1" applyFont="1" applyFill="1" applyBorder="1" applyAlignment="1" applyProtection="1">
      <alignment vertical="center"/>
      <protection locked="0"/>
    </xf>
    <xf numFmtId="49" fontId="7" fillId="6" borderId="4" xfId="0" applyNumberFormat="1" applyFont="1" applyFill="1" applyBorder="1" applyAlignment="1" applyProtection="1">
      <alignment horizontal="left" vertical="center" wrapText="1"/>
      <protection locked="0"/>
    </xf>
    <xf numFmtId="0" fontId="7" fillId="6" borderId="6" xfId="0" applyFont="1" applyFill="1" applyBorder="1" applyAlignment="1" applyProtection="1">
      <alignment vertical="center" wrapText="1"/>
      <protection locked="0"/>
    </xf>
    <xf numFmtId="0" fontId="7" fillId="6" borderId="6" xfId="0" applyFont="1" applyFill="1" applyBorder="1" applyAlignment="1" applyProtection="1">
      <alignment vertical="top" wrapText="1"/>
      <protection locked="0"/>
    </xf>
    <xf numFmtId="0" fontId="7" fillId="6" borderId="6" xfId="0" applyFont="1" applyFill="1" applyBorder="1" applyAlignment="1" applyProtection="1">
      <alignment horizontal="center" vertical="center" wrapText="1"/>
      <protection locked="0"/>
    </xf>
    <xf numFmtId="43" fontId="7" fillId="6" borderId="6" xfId="1" applyFont="1" applyFill="1" applyBorder="1" applyAlignment="1" applyProtection="1">
      <alignment horizontal="center" vertical="center" wrapText="1"/>
      <protection locked="0"/>
    </xf>
    <xf numFmtId="43" fontId="7" fillId="6" borderId="5" xfId="1" applyFont="1" applyFill="1" applyBorder="1" applyAlignment="1" applyProtection="1">
      <alignment horizontal="center" vertical="center" wrapText="1"/>
      <protection locked="0"/>
    </xf>
    <xf numFmtId="0" fontId="4" fillId="6" borderId="5" xfId="0" applyFont="1" applyFill="1" applyBorder="1" applyAlignment="1">
      <alignment horizontal="center" vertical="center" wrapText="1"/>
    </xf>
    <xf numFmtId="0" fontId="7" fillId="6" borderId="1" xfId="0" applyFont="1" applyFill="1" applyBorder="1" applyAlignment="1" applyProtection="1">
      <alignment horizontal="left" vertical="center" wrapText="1" readingOrder="1"/>
      <protection locked="0"/>
    </xf>
    <xf numFmtId="0" fontId="0" fillId="6" borderId="0" xfId="0" applyFill="1"/>
    <xf numFmtId="14" fontId="4" fillId="6" borderId="4" xfId="0" applyNumberFormat="1" applyFont="1" applyFill="1" applyBorder="1" applyAlignment="1">
      <alignment vertical="center" wrapText="1"/>
    </xf>
    <xf numFmtId="49" fontId="4" fillId="6" borderId="4" xfId="0" applyNumberFormat="1" applyFont="1" applyFill="1" applyBorder="1" applyAlignment="1">
      <alignment horizontal="left" vertical="center" wrapText="1"/>
    </xf>
    <xf numFmtId="17" fontId="4" fillId="6" borderId="4" xfId="0" applyNumberFormat="1" applyFont="1" applyFill="1" applyBorder="1" applyAlignment="1">
      <alignment vertical="center" wrapText="1"/>
    </xf>
    <xf numFmtId="0" fontId="4" fillId="6" borderId="4" xfId="0" applyFont="1" applyFill="1" applyBorder="1" applyAlignment="1">
      <alignment vertical="center" wrapText="1"/>
    </xf>
    <xf numFmtId="0" fontId="7" fillId="6" borderId="4" xfId="0" applyFont="1" applyFill="1" applyBorder="1" applyAlignment="1" applyProtection="1">
      <alignment horizontal="center" vertical="center" wrapText="1" readingOrder="1"/>
      <protection locked="0"/>
    </xf>
    <xf numFmtId="8" fontId="4" fillId="6" borderId="4" xfId="0" applyNumberFormat="1" applyFont="1" applyFill="1" applyBorder="1" applyAlignment="1">
      <alignment vertical="center" wrapText="1"/>
    </xf>
    <xf numFmtId="165" fontId="7" fillId="6" borderId="4" xfId="0" applyNumberFormat="1" applyFont="1" applyFill="1" applyBorder="1" applyAlignment="1" applyProtection="1">
      <alignment horizontal="center" vertical="center" wrapText="1" readingOrder="1"/>
      <protection locked="0"/>
    </xf>
    <xf numFmtId="0" fontId="7" fillId="6" borderId="4" xfId="0" applyFont="1" applyFill="1" applyBorder="1" applyAlignment="1" applyProtection="1">
      <alignment horizontal="left" vertical="center" wrapText="1" readingOrder="1"/>
      <protection locked="0"/>
    </xf>
    <xf numFmtId="0" fontId="7" fillId="6" borderId="0" xfId="0" applyFont="1" applyFill="1" applyBorder="1" applyAlignment="1" applyProtection="1">
      <alignment vertical="center" wrapText="1" readingOrder="1"/>
      <protection locked="0"/>
    </xf>
    <xf numFmtId="164" fontId="7" fillId="6" borderId="5" xfId="0" applyNumberFormat="1" applyFont="1" applyFill="1" applyBorder="1" applyAlignment="1" applyProtection="1">
      <alignment horizontal="center" vertical="center" readingOrder="1"/>
      <protection locked="0"/>
    </xf>
    <xf numFmtId="49" fontId="7" fillId="6" borderId="5" xfId="0" applyNumberFormat="1" applyFont="1" applyFill="1" applyBorder="1" applyAlignment="1" applyProtection="1">
      <alignment horizontal="left" vertical="center" wrapText="1"/>
      <protection locked="0"/>
    </xf>
    <xf numFmtId="0" fontId="7" fillId="6" borderId="5" xfId="0" applyFont="1" applyFill="1" applyBorder="1" applyAlignment="1" applyProtection="1">
      <alignment horizontal="center" vertical="center" wrapText="1"/>
      <protection locked="0"/>
    </xf>
    <xf numFmtId="0" fontId="7" fillId="6" borderId="5" xfId="0" applyFont="1" applyFill="1" applyBorder="1" applyAlignment="1" applyProtection="1">
      <alignment horizontal="left" vertical="center" wrapText="1" readingOrder="1"/>
      <protection locked="0"/>
    </xf>
    <xf numFmtId="0" fontId="7" fillId="6" borderId="5" xfId="0" applyFont="1" applyFill="1" applyBorder="1" applyAlignment="1" applyProtection="1">
      <alignment horizontal="left" vertical="top" wrapText="1" readingOrder="1"/>
      <protection locked="0"/>
    </xf>
    <xf numFmtId="0" fontId="7" fillId="6" borderId="5" xfId="0" applyFont="1" applyFill="1" applyBorder="1" applyAlignment="1" applyProtection="1">
      <alignment horizontal="center" vertical="center" wrapText="1" readingOrder="1"/>
      <protection locked="0"/>
    </xf>
    <xf numFmtId="43" fontId="7" fillId="6" borderId="5" xfId="1" applyFont="1" applyFill="1" applyBorder="1" applyAlignment="1" applyProtection="1">
      <alignment horizontal="center" vertical="center" wrapText="1" readingOrder="1"/>
      <protection locked="0"/>
    </xf>
    <xf numFmtId="14" fontId="4" fillId="6" borderId="1" xfId="0" applyNumberFormat="1" applyFont="1" applyFill="1" applyBorder="1" applyAlignment="1">
      <alignment vertical="center" wrapText="1"/>
    </xf>
    <xf numFmtId="49" fontId="4" fillId="6" borderId="1" xfId="0" applyNumberFormat="1" applyFont="1" applyFill="1" applyBorder="1" applyAlignment="1">
      <alignment horizontal="left" vertical="center" wrapText="1"/>
    </xf>
    <xf numFmtId="17" fontId="4" fillId="6" borderId="1" xfId="0" applyNumberFormat="1" applyFont="1" applyFill="1" applyBorder="1" applyAlignment="1">
      <alignment vertical="center" wrapText="1"/>
    </xf>
    <xf numFmtId="0" fontId="4" fillId="6" borderId="1" xfId="0" applyFont="1" applyFill="1" applyBorder="1" applyAlignment="1">
      <alignment vertical="center" wrapText="1"/>
    </xf>
    <xf numFmtId="0" fontId="9" fillId="6" borderId="1" xfId="0" applyFont="1" applyFill="1" applyBorder="1" applyAlignment="1">
      <alignment horizontal="center"/>
    </xf>
    <xf numFmtId="8" fontId="4" fillId="6" borderId="1" xfId="0" applyNumberFormat="1" applyFont="1" applyFill="1" applyBorder="1" applyAlignment="1">
      <alignment vertical="center" wrapText="1"/>
    </xf>
    <xf numFmtId="43" fontId="9" fillId="6" borderId="1" xfId="1" applyFont="1" applyFill="1" applyBorder="1" applyAlignment="1">
      <alignment horizontal="center"/>
    </xf>
    <xf numFmtId="0" fontId="11" fillId="6" borderId="1" xfId="0" applyFont="1" applyFill="1" applyBorder="1" applyAlignment="1">
      <alignment vertical="center" wrapText="1"/>
    </xf>
    <xf numFmtId="14" fontId="4" fillId="6" borderId="6" xfId="0" applyNumberFormat="1" applyFont="1" applyFill="1" applyBorder="1" applyAlignment="1">
      <alignment vertical="center" wrapText="1"/>
    </xf>
    <xf numFmtId="49" fontId="4" fillId="6" borderId="6" xfId="0" applyNumberFormat="1" applyFont="1" applyFill="1" applyBorder="1" applyAlignment="1">
      <alignment horizontal="left" vertical="center" wrapText="1"/>
    </xf>
    <xf numFmtId="17" fontId="4" fillId="6" borderId="6" xfId="0" applyNumberFormat="1" applyFont="1" applyFill="1" applyBorder="1" applyAlignment="1">
      <alignment vertical="center" wrapText="1"/>
    </xf>
    <xf numFmtId="0" fontId="4" fillId="6" borderId="6" xfId="0" applyFont="1" applyFill="1" applyBorder="1" applyAlignment="1">
      <alignment vertical="center" wrapText="1"/>
    </xf>
    <xf numFmtId="0" fontId="0" fillId="6" borderId="6" xfId="0" applyFill="1" applyBorder="1" applyAlignment="1">
      <alignment horizontal="center"/>
    </xf>
    <xf numFmtId="8" fontId="4" fillId="6" borderId="6" xfId="0" applyNumberFormat="1" applyFont="1" applyFill="1" applyBorder="1" applyAlignment="1">
      <alignment vertical="center" wrapText="1"/>
    </xf>
    <xf numFmtId="43" fontId="0" fillId="6" borderId="6" xfId="1" applyFont="1" applyFill="1" applyBorder="1" applyAlignment="1">
      <alignment horizontal="center"/>
    </xf>
    <xf numFmtId="14" fontId="4" fillId="6" borderId="7" xfId="0" applyNumberFormat="1" applyFont="1" applyFill="1" applyBorder="1" applyAlignment="1">
      <alignment vertical="center" wrapText="1"/>
    </xf>
    <xf numFmtId="49" fontId="4" fillId="6" borderId="7" xfId="0" applyNumberFormat="1" applyFont="1" applyFill="1" applyBorder="1" applyAlignment="1">
      <alignment horizontal="left" vertical="center" wrapText="1"/>
    </xf>
    <xf numFmtId="17" fontId="4" fillId="6" borderId="7" xfId="0" applyNumberFormat="1" applyFont="1" applyFill="1" applyBorder="1" applyAlignment="1">
      <alignment vertical="center" wrapText="1"/>
    </xf>
    <xf numFmtId="0" fontId="4" fillId="6" borderId="7" xfId="0" applyFont="1" applyFill="1" applyBorder="1" applyAlignment="1">
      <alignment vertical="center" wrapText="1"/>
    </xf>
    <xf numFmtId="0" fontId="9" fillId="6" borderId="7" xfId="0" applyFont="1" applyFill="1" applyBorder="1" applyAlignment="1">
      <alignment horizontal="center"/>
    </xf>
    <xf numFmtId="8" fontId="4" fillId="6" borderId="7" xfId="0" applyNumberFormat="1" applyFont="1" applyFill="1" applyBorder="1" applyAlignment="1">
      <alignment vertical="center" wrapText="1"/>
    </xf>
    <xf numFmtId="0" fontId="0" fillId="6" borderId="0" xfId="0" applyFill="1" applyAlignment="1">
      <alignment wrapText="1"/>
    </xf>
    <xf numFmtId="14" fontId="4" fillId="6" borderId="5" xfId="0" applyNumberFormat="1" applyFont="1" applyFill="1" applyBorder="1" applyAlignment="1">
      <alignment vertical="center" wrapText="1"/>
    </xf>
    <xf numFmtId="49" fontId="4" fillId="6" borderId="5" xfId="0" applyNumberFormat="1" applyFont="1" applyFill="1" applyBorder="1" applyAlignment="1">
      <alignment horizontal="left" vertical="center" wrapText="1"/>
    </xf>
    <xf numFmtId="17" fontId="4" fillId="6" borderId="5" xfId="0" applyNumberFormat="1" applyFont="1" applyFill="1" applyBorder="1" applyAlignment="1">
      <alignment vertical="center" wrapText="1"/>
    </xf>
    <xf numFmtId="0" fontId="4" fillId="6" borderId="5" xfId="0" applyFont="1" applyFill="1" applyBorder="1" applyAlignment="1">
      <alignment vertical="center" wrapText="1"/>
    </xf>
    <xf numFmtId="0" fontId="0" fillId="6" borderId="5" xfId="0" applyFill="1" applyBorder="1" applyAlignment="1">
      <alignment horizontal="center"/>
    </xf>
    <xf numFmtId="8" fontId="4" fillId="6" borderId="5" xfId="0" applyNumberFormat="1" applyFont="1" applyFill="1" applyBorder="1" applyAlignment="1">
      <alignment vertical="center" wrapText="1"/>
    </xf>
    <xf numFmtId="43" fontId="0" fillId="6" borderId="5" xfId="1" applyFont="1" applyFill="1" applyBorder="1" applyAlignment="1">
      <alignment horizontal="center"/>
    </xf>
    <xf numFmtId="49" fontId="4" fillId="0" borderId="1" xfId="0" applyNumberFormat="1" applyFont="1" applyFill="1" applyBorder="1" applyAlignment="1">
      <alignment horizontal="center" vertical="center" wrapText="1"/>
    </xf>
    <xf numFmtId="0" fontId="10" fillId="0" borderId="0" xfId="0" applyFont="1" applyFill="1" applyAlignment="1">
      <alignment wrapText="1"/>
    </xf>
    <xf numFmtId="0" fontId="10" fillId="0" borderId="0" xfId="0" applyFont="1" applyFill="1"/>
    <xf numFmtId="14" fontId="11" fillId="0" borderId="1" xfId="0" applyNumberFormat="1" applyFont="1" applyFill="1" applyBorder="1" applyAlignment="1">
      <alignment horizontal="center" vertical="center" wrapText="1"/>
    </xf>
    <xf numFmtId="14" fontId="11" fillId="0" borderId="1" xfId="0" applyNumberFormat="1" applyFont="1" applyFill="1" applyBorder="1" applyAlignment="1">
      <alignment vertical="center" wrapText="1"/>
    </xf>
    <xf numFmtId="0" fontId="11" fillId="0" borderId="1" xfId="0" applyFont="1" applyFill="1" applyBorder="1" applyAlignment="1">
      <alignment vertical="center" wrapText="1"/>
    </xf>
    <xf numFmtId="43" fontId="11" fillId="0" borderId="1" xfId="1" applyFont="1" applyFill="1" applyBorder="1" applyAlignment="1">
      <alignment vertical="center" wrapText="1"/>
    </xf>
    <xf numFmtId="0" fontId="11" fillId="0" borderId="1" xfId="0" applyFont="1" applyFill="1" applyBorder="1" applyAlignment="1">
      <alignment horizontal="left" vertical="center" wrapText="1"/>
    </xf>
    <xf numFmtId="43" fontId="0" fillId="0" borderId="0" xfId="0" applyNumberFormat="1" applyAlignment="1">
      <alignment horizontal="center"/>
    </xf>
    <xf numFmtId="164" fontId="7" fillId="0" borderId="1" xfId="0" applyNumberFormat="1" applyFont="1" applyFill="1" applyBorder="1" applyAlignment="1" applyProtection="1">
      <alignment vertical="center"/>
      <protection locked="0"/>
    </xf>
    <xf numFmtId="0" fontId="7" fillId="0" borderId="1" xfId="0" applyFont="1" applyFill="1" applyBorder="1" applyAlignment="1" applyProtection="1">
      <alignment vertical="center" wrapText="1"/>
      <protection locked="0"/>
    </xf>
    <xf numFmtId="0" fontId="7" fillId="0" borderId="1" xfId="0" applyFont="1" applyFill="1" applyBorder="1" applyAlignment="1" applyProtection="1">
      <alignment vertical="top" wrapText="1"/>
      <protection locked="0"/>
    </xf>
    <xf numFmtId="0" fontId="7" fillId="0" borderId="1" xfId="0" applyFont="1" applyFill="1" applyBorder="1" applyAlignment="1" applyProtection="1">
      <alignment horizontal="center" vertical="center" wrapText="1"/>
      <protection locked="0"/>
    </xf>
    <xf numFmtId="43" fontId="7" fillId="0" borderId="1" xfId="1" applyFont="1" applyFill="1" applyBorder="1" applyAlignment="1" applyProtection="1">
      <alignment horizontal="center" vertical="center" wrapText="1"/>
      <protection locked="0"/>
    </xf>
    <xf numFmtId="0" fontId="0" fillId="0" borderId="1" xfId="0" applyFill="1" applyBorder="1"/>
    <xf numFmtId="164" fontId="7" fillId="0" borderId="1" xfId="0" applyNumberFormat="1" applyFont="1" applyFill="1" applyBorder="1" applyAlignment="1" applyProtection="1">
      <alignment horizontal="center" vertical="center" readingOrder="1"/>
      <protection locked="0"/>
    </xf>
    <xf numFmtId="0" fontId="7" fillId="0" borderId="1" xfId="0" applyFont="1" applyFill="1" applyBorder="1" applyAlignment="1" applyProtection="1">
      <alignment horizontal="left" vertical="top" wrapText="1" readingOrder="1"/>
      <protection locked="0"/>
    </xf>
    <xf numFmtId="0" fontId="7" fillId="0" borderId="1" xfId="0" applyFont="1" applyFill="1" applyBorder="1" applyAlignment="1" applyProtection="1">
      <alignment horizontal="center" vertical="center" wrapText="1" readingOrder="1"/>
      <protection locked="0"/>
    </xf>
    <xf numFmtId="43" fontId="7" fillId="0" borderId="1" xfId="1" applyFont="1" applyFill="1" applyBorder="1" applyAlignment="1" applyProtection="1">
      <alignment horizontal="center" vertical="center" wrapText="1" readingOrder="1"/>
      <protection locked="0"/>
    </xf>
    <xf numFmtId="0" fontId="7" fillId="0" borderId="1" xfId="0" applyFont="1" applyFill="1" applyBorder="1" applyAlignment="1" applyProtection="1">
      <alignment vertical="center" wrapText="1" readingOrder="1"/>
      <protection locked="0"/>
    </xf>
    <xf numFmtId="49" fontId="2" fillId="0" borderId="0" xfId="0" applyNumberFormat="1" applyFont="1" applyFill="1" applyAlignment="1">
      <alignment horizontal="center"/>
    </xf>
    <xf numFmtId="49" fontId="11" fillId="0" borderId="1" xfId="0" applyNumberFormat="1" applyFont="1" applyFill="1" applyBorder="1" applyAlignment="1">
      <alignment horizontal="center" vertical="center" wrapText="1"/>
    </xf>
    <xf numFmtId="49" fontId="7" fillId="0" borderId="1" xfId="0" applyNumberFormat="1" applyFont="1" applyFill="1" applyBorder="1" applyAlignment="1" applyProtection="1">
      <alignment horizontal="center" vertical="center" wrapText="1"/>
      <protection locked="0"/>
    </xf>
    <xf numFmtId="0" fontId="12" fillId="0" borderId="1" xfId="0" applyFont="1" applyFill="1" applyBorder="1" applyAlignment="1">
      <alignment horizontal="left" vertical="center" wrapText="1"/>
    </xf>
    <xf numFmtId="43" fontId="0" fillId="0" borderId="1" xfId="1" applyFont="1" applyFill="1" applyBorder="1" applyAlignment="1">
      <alignment horizontal="center"/>
    </xf>
    <xf numFmtId="0" fontId="9" fillId="0" borderId="0" xfId="0" applyFont="1" applyFill="1"/>
    <xf numFmtId="17" fontId="4" fillId="0" borderId="1" xfId="0" applyNumberFormat="1" applyFont="1" applyFill="1" applyBorder="1" applyAlignment="1">
      <alignment vertical="center" wrapText="1"/>
    </xf>
    <xf numFmtId="0" fontId="9" fillId="0" borderId="0" xfId="0" applyFont="1" applyFill="1" applyAlignment="1"/>
    <xf numFmtId="0" fontId="13" fillId="0" borderId="8" xfId="0" applyFont="1" applyBorder="1" applyAlignment="1">
      <alignment vertical="center"/>
    </xf>
    <xf numFmtId="0" fontId="9" fillId="0" borderId="0" xfId="0" applyFont="1" applyAlignment="1">
      <alignment vertical="center"/>
    </xf>
    <xf numFmtId="0" fontId="14" fillId="4" borderId="1" xfId="0" applyFont="1" applyFill="1" applyBorder="1" applyAlignment="1">
      <alignment horizontal="center" vertical="center" wrapText="1"/>
    </xf>
    <xf numFmtId="14" fontId="16" fillId="0" borderId="1" xfId="0" applyNumberFormat="1" applyFont="1" applyFill="1" applyBorder="1" applyAlignment="1">
      <alignment horizontal="center" vertical="center" wrapText="1"/>
    </xf>
    <xf numFmtId="49" fontId="16" fillId="0" borderId="1" xfId="0" applyNumberFormat="1" applyFont="1" applyFill="1" applyBorder="1" applyAlignment="1">
      <alignment horizontal="center" vertical="center" wrapText="1"/>
    </xf>
    <xf numFmtId="0" fontId="16" fillId="0" borderId="1" xfId="0" applyFont="1" applyFill="1" applyBorder="1" applyAlignment="1">
      <alignment vertical="center" wrapText="1"/>
    </xf>
    <xf numFmtId="0" fontId="17" fillId="0" borderId="0" xfId="0" applyFont="1" applyFill="1"/>
    <xf numFmtId="43" fontId="16" fillId="0" borderId="1" xfId="1" applyFont="1" applyFill="1" applyBorder="1" applyAlignment="1">
      <alignment vertical="center" wrapText="1"/>
    </xf>
    <xf numFmtId="0" fontId="16" fillId="0" borderId="1" xfId="0" applyFont="1" applyFill="1" applyBorder="1" applyAlignment="1">
      <alignment horizontal="left" vertical="center" wrapText="1"/>
    </xf>
    <xf numFmtId="43" fontId="17" fillId="0" borderId="1" xfId="1" applyFont="1" applyFill="1" applyBorder="1" applyAlignment="1">
      <alignment horizontal="center"/>
    </xf>
    <xf numFmtId="14" fontId="16" fillId="0" borderId="1" xfId="0" applyNumberFormat="1" applyFont="1" applyFill="1" applyBorder="1" applyAlignment="1">
      <alignment vertical="center" wrapText="1"/>
    </xf>
    <xf numFmtId="17" fontId="16" fillId="0" borderId="1" xfId="0" applyNumberFormat="1" applyFont="1" applyFill="1" applyBorder="1" applyAlignment="1">
      <alignment vertical="center" wrapText="1"/>
    </xf>
    <xf numFmtId="0" fontId="17" fillId="0" borderId="0" xfId="0" applyFont="1" applyFill="1" applyAlignment="1">
      <alignment wrapText="1"/>
    </xf>
    <xf numFmtId="43" fontId="2" fillId="0" borderId="0" xfId="1" applyFont="1" applyFill="1" applyAlignment="1"/>
    <xf numFmtId="43" fontId="9" fillId="0" borderId="0" xfId="1" applyFont="1" applyFill="1" applyAlignment="1"/>
    <xf numFmtId="43" fontId="9" fillId="0" borderId="0" xfId="1" applyFont="1" applyFill="1" applyAlignment="1">
      <alignment wrapText="1"/>
    </xf>
    <xf numFmtId="0" fontId="9" fillId="0" borderId="0" xfId="0" applyFont="1" applyFill="1" applyAlignment="1">
      <alignment horizontal="center" wrapText="1"/>
    </xf>
    <xf numFmtId="0" fontId="16"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0" borderId="1" xfId="0" applyFont="1" applyFill="1" applyBorder="1" applyAlignment="1">
      <alignment horizontal="center" vertical="center"/>
    </xf>
    <xf numFmtId="0" fontId="16" fillId="0" borderId="1" xfId="0" applyFont="1" applyFill="1" applyBorder="1" applyAlignment="1">
      <alignment horizontal="center" vertical="center"/>
    </xf>
    <xf numFmtId="0" fontId="17" fillId="0" borderId="1" xfId="0" applyFont="1" applyFill="1" applyBorder="1" applyAlignment="1">
      <alignment horizontal="center" vertical="center"/>
    </xf>
    <xf numFmtId="0" fontId="0" fillId="0" borderId="1" xfId="0" applyFill="1" applyBorder="1" applyAlignment="1">
      <alignment horizontal="center" vertical="center"/>
    </xf>
    <xf numFmtId="164" fontId="7" fillId="0" borderId="2" xfId="0" applyNumberFormat="1" applyFont="1" applyBorder="1" applyAlignment="1" applyProtection="1">
      <alignment horizontal="center" vertical="top" wrapText="1" readingOrder="1"/>
      <protection locked="0"/>
    </xf>
    <xf numFmtId="0" fontId="0" fillId="0" borderId="3" xfId="0" applyBorder="1" applyAlignment="1" applyProtection="1">
      <alignment vertical="top" wrapText="1"/>
      <protection locked="0"/>
    </xf>
    <xf numFmtId="0" fontId="0" fillId="0" borderId="0" xfId="0"/>
    <xf numFmtId="0" fontId="6" fillId="2" borderId="2" xfId="0" applyFont="1" applyFill="1" applyBorder="1" applyAlignment="1" applyProtection="1">
      <alignment horizontal="center" vertical="center" wrapText="1" readingOrder="1"/>
      <protection locked="0"/>
    </xf>
    <xf numFmtId="0" fontId="5" fillId="0" borderId="0" xfId="0" applyFont="1" applyAlignment="1" applyProtection="1">
      <alignment horizontal="center" vertical="center" wrapText="1" readingOrder="1"/>
      <protection locked="0"/>
    </xf>
    <xf numFmtId="0" fontId="14" fillId="4" borderId="1" xfId="0" applyFont="1" applyFill="1" applyBorder="1" applyAlignment="1">
      <alignment horizontal="center" vertical="center" wrapText="1"/>
    </xf>
    <xf numFmtId="43" fontId="14" fillId="4" borderId="1" xfId="1" applyFont="1" applyFill="1" applyBorder="1" applyAlignment="1">
      <alignment horizontal="center" vertical="center" wrapText="1"/>
    </xf>
    <xf numFmtId="0" fontId="15" fillId="4" borderId="1" xfId="0" applyFont="1" applyFill="1" applyBorder="1" applyAlignment="1">
      <alignment horizontal="center" vertical="center" wrapText="1"/>
    </xf>
    <xf numFmtId="43" fontId="16" fillId="0" borderId="1" xfId="1" applyFont="1" applyFill="1" applyBorder="1" applyAlignment="1">
      <alignment vertical="center"/>
    </xf>
  </cellXfs>
  <cellStyles count="2">
    <cellStyle name="Normal" xfId="0" builtinId="0"/>
    <cellStyle name="Vírgula" xfId="1" builtinId="3"/>
  </cellStyles>
  <dxfs count="0"/>
  <tableStyles count="0" defaultTableStyle="TableStyleMedium2" defaultPivotStyle="PivotStyleMedium9"/>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2</xdr:col>
      <xdr:colOff>142875</xdr:colOff>
      <xdr:row>1</xdr:row>
      <xdr:rowOff>771525</xdr:rowOff>
    </xdr:to>
    <xdr:pic>
      <xdr:nvPicPr>
        <xdr:cNvPr id="2" name="Picture 0" descr="cc178dc1-83fa-4868-b45e-a015536125b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933450"/>
          <a:ext cx="89535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3</xdr:col>
      <xdr:colOff>142875</xdr:colOff>
      <xdr:row>1</xdr:row>
      <xdr:rowOff>771525</xdr:rowOff>
    </xdr:to>
    <xdr:pic>
      <xdr:nvPicPr>
        <xdr:cNvPr id="2" name="Picture 0" descr="f5836dc8-92d1-4cf9-984b-665c1ba8758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933450"/>
          <a:ext cx="89535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selection activeCell="F11" sqref="F11"/>
    </sheetView>
  </sheetViews>
  <sheetFormatPr defaultRowHeight="15" x14ac:dyDescent="0.25"/>
  <cols>
    <col min="1" max="1" width="0.5703125" customWidth="1"/>
    <col min="2" max="2" width="10.7109375" customWidth="1"/>
    <col min="3" max="3" width="2.140625" customWidth="1"/>
    <col min="4" max="4" width="7.85546875" customWidth="1"/>
    <col min="5" max="5" width="27.7109375" customWidth="1"/>
    <col min="6" max="6" width="30.42578125" customWidth="1"/>
    <col min="7" max="7" width="11.85546875" customWidth="1"/>
    <col min="8" max="8" width="14.7109375" customWidth="1"/>
    <col min="9" max="9" width="12.85546875" customWidth="1"/>
    <col min="10" max="10" width="10" customWidth="1"/>
    <col min="11" max="11" width="25" customWidth="1"/>
    <col min="12" max="12" width="3.5703125" customWidth="1"/>
    <col min="256" max="256" width="2.140625" customWidth="1"/>
    <col min="257" max="257" width="0.5703125" customWidth="1"/>
    <col min="258" max="258" width="10.7109375" customWidth="1"/>
    <col min="259" max="259" width="2.140625" customWidth="1"/>
    <col min="260" max="260" width="7.85546875" customWidth="1"/>
    <col min="261" max="261" width="27.7109375" customWidth="1"/>
    <col min="262" max="262" width="30.42578125" customWidth="1"/>
    <col min="263" max="263" width="11.85546875" customWidth="1"/>
    <col min="264" max="264" width="14.7109375" customWidth="1"/>
    <col min="265" max="265" width="12.85546875" customWidth="1"/>
    <col min="266" max="266" width="10" customWidth="1"/>
    <col min="267" max="267" width="25" customWidth="1"/>
    <col min="268" max="268" width="3.5703125" customWidth="1"/>
    <col min="512" max="512" width="2.140625" customWidth="1"/>
    <col min="513" max="513" width="0.5703125" customWidth="1"/>
    <col min="514" max="514" width="10.7109375" customWidth="1"/>
    <col min="515" max="515" width="2.140625" customWidth="1"/>
    <col min="516" max="516" width="7.85546875" customWidth="1"/>
    <col min="517" max="517" width="27.7109375" customWidth="1"/>
    <col min="518" max="518" width="30.42578125" customWidth="1"/>
    <col min="519" max="519" width="11.85546875" customWidth="1"/>
    <col min="520" max="520" width="14.7109375" customWidth="1"/>
    <col min="521" max="521" width="12.85546875" customWidth="1"/>
    <col min="522" max="522" width="10" customWidth="1"/>
    <col min="523" max="523" width="25" customWidth="1"/>
    <col min="524" max="524" width="3.5703125" customWidth="1"/>
    <col min="768" max="768" width="2.140625" customWidth="1"/>
    <col min="769" max="769" width="0.5703125" customWidth="1"/>
    <col min="770" max="770" width="10.7109375" customWidth="1"/>
    <col min="771" max="771" width="2.140625" customWidth="1"/>
    <col min="772" max="772" width="7.85546875" customWidth="1"/>
    <col min="773" max="773" width="27.7109375" customWidth="1"/>
    <col min="774" max="774" width="30.42578125" customWidth="1"/>
    <col min="775" max="775" width="11.85546875" customWidth="1"/>
    <col min="776" max="776" width="14.7109375" customWidth="1"/>
    <col min="777" max="777" width="12.85546875" customWidth="1"/>
    <col min="778" max="778" width="10" customWidth="1"/>
    <col min="779" max="779" width="25" customWidth="1"/>
    <col min="780" max="780" width="3.5703125" customWidth="1"/>
    <col min="1024" max="1024" width="2.140625" customWidth="1"/>
    <col min="1025" max="1025" width="0.5703125" customWidth="1"/>
    <col min="1026" max="1026" width="10.7109375" customWidth="1"/>
    <col min="1027" max="1027" width="2.140625" customWidth="1"/>
    <col min="1028" max="1028" width="7.85546875" customWidth="1"/>
    <col min="1029" max="1029" width="27.7109375" customWidth="1"/>
    <col min="1030" max="1030" width="30.42578125" customWidth="1"/>
    <col min="1031" max="1031" width="11.85546875" customWidth="1"/>
    <col min="1032" max="1032" width="14.7109375" customWidth="1"/>
    <col min="1033" max="1033" width="12.85546875" customWidth="1"/>
    <col min="1034" max="1034" width="10" customWidth="1"/>
    <col min="1035" max="1035" width="25" customWidth="1"/>
    <col min="1036" max="1036" width="3.5703125" customWidth="1"/>
    <col min="1280" max="1280" width="2.140625" customWidth="1"/>
    <col min="1281" max="1281" width="0.5703125" customWidth="1"/>
    <col min="1282" max="1282" width="10.7109375" customWidth="1"/>
    <col min="1283" max="1283" width="2.140625" customWidth="1"/>
    <col min="1284" max="1284" width="7.85546875" customWidth="1"/>
    <col min="1285" max="1285" width="27.7109375" customWidth="1"/>
    <col min="1286" max="1286" width="30.42578125" customWidth="1"/>
    <col min="1287" max="1287" width="11.85546875" customWidth="1"/>
    <col min="1288" max="1288" width="14.7109375" customWidth="1"/>
    <col min="1289" max="1289" width="12.85546875" customWidth="1"/>
    <col min="1290" max="1290" width="10" customWidth="1"/>
    <col min="1291" max="1291" width="25" customWidth="1"/>
    <col min="1292" max="1292" width="3.5703125" customWidth="1"/>
    <col min="1536" max="1536" width="2.140625" customWidth="1"/>
    <col min="1537" max="1537" width="0.5703125" customWidth="1"/>
    <col min="1538" max="1538" width="10.7109375" customWidth="1"/>
    <col min="1539" max="1539" width="2.140625" customWidth="1"/>
    <col min="1540" max="1540" width="7.85546875" customWidth="1"/>
    <col min="1541" max="1541" width="27.7109375" customWidth="1"/>
    <col min="1542" max="1542" width="30.42578125" customWidth="1"/>
    <col min="1543" max="1543" width="11.85546875" customWidth="1"/>
    <col min="1544" max="1544" width="14.7109375" customWidth="1"/>
    <col min="1545" max="1545" width="12.85546875" customWidth="1"/>
    <col min="1546" max="1546" width="10" customWidth="1"/>
    <col min="1547" max="1547" width="25" customWidth="1"/>
    <col min="1548" max="1548" width="3.5703125" customWidth="1"/>
    <col min="1792" max="1792" width="2.140625" customWidth="1"/>
    <col min="1793" max="1793" width="0.5703125" customWidth="1"/>
    <col min="1794" max="1794" width="10.7109375" customWidth="1"/>
    <col min="1795" max="1795" width="2.140625" customWidth="1"/>
    <col min="1796" max="1796" width="7.85546875" customWidth="1"/>
    <col min="1797" max="1797" width="27.7109375" customWidth="1"/>
    <col min="1798" max="1798" width="30.42578125" customWidth="1"/>
    <col min="1799" max="1799" width="11.85546875" customWidth="1"/>
    <col min="1800" max="1800" width="14.7109375" customWidth="1"/>
    <col min="1801" max="1801" width="12.85546875" customWidth="1"/>
    <col min="1802" max="1802" width="10" customWidth="1"/>
    <col min="1803" max="1803" width="25" customWidth="1"/>
    <col min="1804" max="1804" width="3.5703125" customWidth="1"/>
    <col min="2048" max="2048" width="2.140625" customWidth="1"/>
    <col min="2049" max="2049" width="0.5703125" customWidth="1"/>
    <col min="2050" max="2050" width="10.7109375" customWidth="1"/>
    <col min="2051" max="2051" width="2.140625" customWidth="1"/>
    <col min="2052" max="2052" width="7.85546875" customWidth="1"/>
    <col min="2053" max="2053" width="27.7109375" customWidth="1"/>
    <col min="2054" max="2054" width="30.42578125" customWidth="1"/>
    <col min="2055" max="2055" width="11.85546875" customWidth="1"/>
    <col min="2056" max="2056" width="14.7109375" customWidth="1"/>
    <col min="2057" max="2057" width="12.85546875" customWidth="1"/>
    <col min="2058" max="2058" width="10" customWidth="1"/>
    <col min="2059" max="2059" width="25" customWidth="1"/>
    <col min="2060" max="2060" width="3.5703125" customWidth="1"/>
    <col min="2304" max="2304" width="2.140625" customWidth="1"/>
    <col min="2305" max="2305" width="0.5703125" customWidth="1"/>
    <col min="2306" max="2306" width="10.7109375" customWidth="1"/>
    <col min="2307" max="2307" width="2.140625" customWidth="1"/>
    <col min="2308" max="2308" width="7.85546875" customWidth="1"/>
    <col min="2309" max="2309" width="27.7109375" customWidth="1"/>
    <col min="2310" max="2310" width="30.42578125" customWidth="1"/>
    <col min="2311" max="2311" width="11.85546875" customWidth="1"/>
    <col min="2312" max="2312" width="14.7109375" customWidth="1"/>
    <col min="2313" max="2313" width="12.85546875" customWidth="1"/>
    <col min="2314" max="2314" width="10" customWidth="1"/>
    <col min="2315" max="2315" width="25" customWidth="1"/>
    <col min="2316" max="2316" width="3.5703125" customWidth="1"/>
    <col min="2560" max="2560" width="2.140625" customWidth="1"/>
    <col min="2561" max="2561" width="0.5703125" customWidth="1"/>
    <col min="2562" max="2562" width="10.7109375" customWidth="1"/>
    <col min="2563" max="2563" width="2.140625" customWidth="1"/>
    <col min="2564" max="2564" width="7.85546875" customWidth="1"/>
    <col min="2565" max="2565" width="27.7109375" customWidth="1"/>
    <col min="2566" max="2566" width="30.42578125" customWidth="1"/>
    <col min="2567" max="2567" width="11.85546875" customWidth="1"/>
    <col min="2568" max="2568" width="14.7109375" customWidth="1"/>
    <col min="2569" max="2569" width="12.85546875" customWidth="1"/>
    <col min="2570" max="2570" width="10" customWidth="1"/>
    <col min="2571" max="2571" width="25" customWidth="1"/>
    <col min="2572" max="2572" width="3.5703125" customWidth="1"/>
    <col min="2816" max="2816" width="2.140625" customWidth="1"/>
    <col min="2817" max="2817" width="0.5703125" customWidth="1"/>
    <col min="2818" max="2818" width="10.7109375" customWidth="1"/>
    <col min="2819" max="2819" width="2.140625" customWidth="1"/>
    <col min="2820" max="2820" width="7.85546875" customWidth="1"/>
    <col min="2821" max="2821" width="27.7109375" customWidth="1"/>
    <col min="2822" max="2822" width="30.42578125" customWidth="1"/>
    <col min="2823" max="2823" width="11.85546875" customWidth="1"/>
    <col min="2824" max="2824" width="14.7109375" customWidth="1"/>
    <col min="2825" max="2825" width="12.85546875" customWidth="1"/>
    <col min="2826" max="2826" width="10" customWidth="1"/>
    <col min="2827" max="2827" width="25" customWidth="1"/>
    <col min="2828" max="2828" width="3.5703125" customWidth="1"/>
    <col min="3072" max="3072" width="2.140625" customWidth="1"/>
    <col min="3073" max="3073" width="0.5703125" customWidth="1"/>
    <col min="3074" max="3074" width="10.7109375" customWidth="1"/>
    <col min="3075" max="3075" width="2.140625" customWidth="1"/>
    <col min="3076" max="3076" width="7.85546875" customWidth="1"/>
    <col min="3077" max="3077" width="27.7109375" customWidth="1"/>
    <col min="3078" max="3078" width="30.42578125" customWidth="1"/>
    <col min="3079" max="3079" width="11.85546875" customWidth="1"/>
    <col min="3080" max="3080" width="14.7109375" customWidth="1"/>
    <col min="3081" max="3081" width="12.85546875" customWidth="1"/>
    <col min="3082" max="3082" width="10" customWidth="1"/>
    <col min="3083" max="3083" width="25" customWidth="1"/>
    <col min="3084" max="3084" width="3.5703125" customWidth="1"/>
    <col min="3328" max="3328" width="2.140625" customWidth="1"/>
    <col min="3329" max="3329" width="0.5703125" customWidth="1"/>
    <col min="3330" max="3330" width="10.7109375" customWidth="1"/>
    <col min="3331" max="3331" width="2.140625" customWidth="1"/>
    <col min="3332" max="3332" width="7.85546875" customWidth="1"/>
    <col min="3333" max="3333" width="27.7109375" customWidth="1"/>
    <col min="3334" max="3334" width="30.42578125" customWidth="1"/>
    <col min="3335" max="3335" width="11.85546875" customWidth="1"/>
    <col min="3336" max="3336" width="14.7109375" customWidth="1"/>
    <col min="3337" max="3337" width="12.85546875" customWidth="1"/>
    <col min="3338" max="3338" width="10" customWidth="1"/>
    <col min="3339" max="3339" width="25" customWidth="1"/>
    <col min="3340" max="3340" width="3.5703125" customWidth="1"/>
    <col min="3584" max="3584" width="2.140625" customWidth="1"/>
    <col min="3585" max="3585" width="0.5703125" customWidth="1"/>
    <col min="3586" max="3586" width="10.7109375" customWidth="1"/>
    <col min="3587" max="3587" width="2.140625" customWidth="1"/>
    <col min="3588" max="3588" width="7.85546875" customWidth="1"/>
    <col min="3589" max="3589" width="27.7109375" customWidth="1"/>
    <col min="3590" max="3590" width="30.42578125" customWidth="1"/>
    <col min="3591" max="3591" width="11.85546875" customWidth="1"/>
    <col min="3592" max="3592" width="14.7109375" customWidth="1"/>
    <col min="3593" max="3593" width="12.85546875" customWidth="1"/>
    <col min="3594" max="3594" width="10" customWidth="1"/>
    <col min="3595" max="3595" width="25" customWidth="1"/>
    <col min="3596" max="3596" width="3.5703125" customWidth="1"/>
    <col min="3840" max="3840" width="2.140625" customWidth="1"/>
    <col min="3841" max="3841" width="0.5703125" customWidth="1"/>
    <col min="3842" max="3842" width="10.7109375" customWidth="1"/>
    <col min="3843" max="3843" width="2.140625" customWidth="1"/>
    <col min="3844" max="3844" width="7.85546875" customWidth="1"/>
    <col min="3845" max="3845" width="27.7109375" customWidth="1"/>
    <col min="3846" max="3846" width="30.42578125" customWidth="1"/>
    <col min="3847" max="3847" width="11.85546875" customWidth="1"/>
    <col min="3848" max="3848" width="14.7109375" customWidth="1"/>
    <col min="3849" max="3849" width="12.85546875" customWidth="1"/>
    <col min="3850" max="3850" width="10" customWidth="1"/>
    <col min="3851" max="3851" width="25" customWidth="1"/>
    <col min="3852" max="3852" width="3.5703125" customWidth="1"/>
    <col min="4096" max="4096" width="2.140625" customWidth="1"/>
    <col min="4097" max="4097" width="0.5703125" customWidth="1"/>
    <col min="4098" max="4098" width="10.7109375" customWidth="1"/>
    <col min="4099" max="4099" width="2.140625" customWidth="1"/>
    <col min="4100" max="4100" width="7.85546875" customWidth="1"/>
    <col min="4101" max="4101" width="27.7109375" customWidth="1"/>
    <col min="4102" max="4102" width="30.42578125" customWidth="1"/>
    <col min="4103" max="4103" width="11.85546875" customWidth="1"/>
    <col min="4104" max="4104" width="14.7109375" customWidth="1"/>
    <col min="4105" max="4105" width="12.85546875" customWidth="1"/>
    <col min="4106" max="4106" width="10" customWidth="1"/>
    <col min="4107" max="4107" width="25" customWidth="1"/>
    <col min="4108" max="4108" width="3.5703125" customWidth="1"/>
    <col min="4352" max="4352" width="2.140625" customWidth="1"/>
    <col min="4353" max="4353" width="0.5703125" customWidth="1"/>
    <col min="4354" max="4354" width="10.7109375" customWidth="1"/>
    <col min="4355" max="4355" width="2.140625" customWidth="1"/>
    <col min="4356" max="4356" width="7.85546875" customWidth="1"/>
    <col min="4357" max="4357" width="27.7109375" customWidth="1"/>
    <col min="4358" max="4358" width="30.42578125" customWidth="1"/>
    <col min="4359" max="4359" width="11.85546875" customWidth="1"/>
    <col min="4360" max="4360" width="14.7109375" customWidth="1"/>
    <col min="4361" max="4361" width="12.85546875" customWidth="1"/>
    <col min="4362" max="4362" width="10" customWidth="1"/>
    <col min="4363" max="4363" width="25" customWidth="1"/>
    <col min="4364" max="4364" width="3.5703125" customWidth="1"/>
    <col min="4608" max="4608" width="2.140625" customWidth="1"/>
    <col min="4609" max="4609" width="0.5703125" customWidth="1"/>
    <col min="4610" max="4610" width="10.7109375" customWidth="1"/>
    <col min="4611" max="4611" width="2.140625" customWidth="1"/>
    <col min="4612" max="4612" width="7.85546875" customWidth="1"/>
    <col min="4613" max="4613" width="27.7109375" customWidth="1"/>
    <col min="4614" max="4614" width="30.42578125" customWidth="1"/>
    <col min="4615" max="4615" width="11.85546875" customWidth="1"/>
    <col min="4616" max="4616" width="14.7109375" customWidth="1"/>
    <col min="4617" max="4617" width="12.85546875" customWidth="1"/>
    <col min="4618" max="4618" width="10" customWidth="1"/>
    <col min="4619" max="4619" width="25" customWidth="1"/>
    <col min="4620" max="4620" width="3.5703125" customWidth="1"/>
    <col min="4864" max="4864" width="2.140625" customWidth="1"/>
    <col min="4865" max="4865" width="0.5703125" customWidth="1"/>
    <col min="4866" max="4866" width="10.7109375" customWidth="1"/>
    <col min="4867" max="4867" width="2.140625" customWidth="1"/>
    <col min="4868" max="4868" width="7.85546875" customWidth="1"/>
    <col min="4869" max="4869" width="27.7109375" customWidth="1"/>
    <col min="4870" max="4870" width="30.42578125" customWidth="1"/>
    <col min="4871" max="4871" width="11.85546875" customWidth="1"/>
    <col min="4872" max="4872" width="14.7109375" customWidth="1"/>
    <col min="4873" max="4873" width="12.85546875" customWidth="1"/>
    <col min="4874" max="4874" width="10" customWidth="1"/>
    <col min="4875" max="4875" width="25" customWidth="1"/>
    <col min="4876" max="4876" width="3.5703125" customWidth="1"/>
    <col min="5120" max="5120" width="2.140625" customWidth="1"/>
    <col min="5121" max="5121" width="0.5703125" customWidth="1"/>
    <col min="5122" max="5122" width="10.7109375" customWidth="1"/>
    <col min="5123" max="5123" width="2.140625" customWidth="1"/>
    <col min="5124" max="5124" width="7.85546875" customWidth="1"/>
    <col min="5125" max="5125" width="27.7109375" customWidth="1"/>
    <col min="5126" max="5126" width="30.42578125" customWidth="1"/>
    <col min="5127" max="5127" width="11.85546875" customWidth="1"/>
    <col min="5128" max="5128" width="14.7109375" customWidth="1"/>
    <col min="5129" max="5129" width="12.85546875" customWidth="1"/>
    <col min="5130" max="5130" width="10" customWidth="1"/>
    <col min="5131" max="5131" width="25" customWidth="1"/>
    <col min="5132" max="5132" width="3.5703125" customWidth="1"/>
    <col min="5376" max="5376" width="2.140625" customWidth="1"/>
    <col min="5377" max="5377" width="0.5703125" customWidth="1"/>
    <col min="5378" max="5378" width="10.7109375" customWidth="1"/>
    <col min="5379" max="5379" width="2.140625" customWidth="1"/>
    <col min="5380" max="5380" width="7.85546875" customWidth="1"/>
    <col min="5381" max="5381" width="27.7109375" customWidth="1"/>
    <col min="5382" max="5382" width="30.42578125" customWidth="1"/>
    <col min="5383" max="5383" width="11.85546875" customWidth="1"/>
    <col min="5384" max="5384" width="14.7109375" customWidth="1"/>
    <col min="5385" max="5385" width="12.85546875" customWidth="1"/>
    <col min="5386" max="5386" width="10" customWidth="1"/>
    <col min="5387" max="5387" width="25" customWidth="1"/>
    <col min="5388" max="5388" width="3.5703125" customWidth="1"/>
    <col min="5632" max="5632" width="2.140625" customWidth="1"/>
    <col min="5633" max="5633" width="0.5703125" customWidth="1"/>
    <col min="5634" max="5634" width="10.7109375" customWidth="1"/>
    <col min="5635" max="5635" width="2.140625" customWidth="1"/>
    <col min="5636" max="5636" width="7.85546875" customWidth="1"/>
    <col min="5637" max="5637" width="27.7109375" customWidth="1"/>
    <col min="5638" max="5638" width="30.42578125" customWidth="1"/>
    <col min="5639" max="5639" width="11.85546875" customWidth="1"/>
    <col min="5640" max="5640" width="14.7109375" customWidth="1"/>
    <col min="5641" max="5641" width="12.85546875" customWidth="1"/>
    <col min="5642" max="5642" width="10" customWidth="1"/>
    <col min="5643" max="5643" width="25" customWidth="1"/>
    <col min="5644" max="5644" width="3.5703125" customWidth="1"/>
    <col min="5888" max="5888" width="2.140625" customWidth="1"/>
    <col min="5889" max="5889" width="0.5703125" customWidth="1"/>
    <col min="5890" max="5890" width="10.7109375" customWidth="1"/>
    <col min="5891" max="5891" width="2.140625" customWidth="1"/>
    <col min="5892" max="5892" width="7.85546875" customWidth="1"/>
    <col min="5893" max="5893" width="27.7109375" customWidth="1"/>
    <col min="5894" max="5894" width="30.42578125" customWidth="1"/>
    <col min="5895" max="5895" width="11.85546875" customWidth="1"/>
    <col min="5896" max="5896" width="14.7109375" customWidth="1"/>
    <col min="5897" max="5897" width="12.85546875" customWidth="1"/>
    <col min="5898" max="5898" width="10" customWidth="1"/>
    <col min="5899" max="5899" width="25" customWidth="1"/>
    <col min="5900" max="5900" width="3.5703125" customWidth="1"/>
    <col min="6144" max="6144" width="2.140625" customWidth="1"/>
    <col min="6145" max="6145" width="0.5703125" customWidth="1"/>
    <col min="6146" max="6146" width="10.7109375" customWidth="1"/>
    <col min="6147" max="6147" width="2.140625" customWidth="1"/>
    <col min="6148" max="6148" width="7.85546875" customWidth="1"/>
    <col min="6149" max="6149" width="27.7109375" customWidth="1"/>
    <col min="6150" max="6150" width="30.42578125" customWidth="1"/>
    <col min="6151" max="6151" width="11.85546875" customWidth="1"/>
    <col min="6152" max="6152" width="14.7109375" customWidth="1"/>
    <col min="6153" max="6153" width="12.85546875" customWidth="1"/>
    <col min="6154" max="6154" width="10" customWidth="1"/>
    <col min="6155" max="6155" width="25" customWidth="1"/>
    <col min="6156" max="6156" width="3.5703125" customWidth="1"/>
    <col min="6400" max="6400" width="2.140625" customWidth="1"/>
    <col min="6401" max="6401" width="0.5703125" customWidth="1"/>
    <col min="6402" max="6402" width="10.7109375" customWidth="1"/>
    <col min="6403" max="6403" width="2.140625" customWidth="1"/>
    <col min="6404" max="6404" width="7.85546875" customWidth="1"/>
    <col min="6405" max="6405" width="27.7109375" customWidth="1"/>
    <col min="6406" max="6406" width="30.42578125" customWidth="1"/>
    <col min="6407" max="6407" width="11.85546875" customWidth="1"/>
    <col min="6408" max="6408" width="14.7109375" customWidth="1"/>
    <col min="6409" max="6409" width="12.85546875" customWidth="1"/>
    <col min="6410" max="6410" width="10" customWidth="1"/>
    <col min="6411" max="6411" width="25" customWidth="1"/>
    <col min="6412" max="6412" width="3.5703125" customWidth="1"/>
    <col min="6656" max="6656" width="2.140625" customWidth="1"/>
    <col min="6657" max="6657" width="0.5703125" customWidth="1"/>
    <col min="6658" max="6658" width="10.7109375" customWidth="1"/>
    <col min="6659" max="6659" width="2.140625" customWidth="1"/>
    <col min="6660" max="6660" width="7.85546875" customWidth="1"/>
    <col min="6661" max="6661" width="27.7109375" customWidth="1"/>
    <col min="6662" max="6662" width="30.42578125" customWidth="1"/>
    <col min="6663" max="6663" width="11.85546875" customWidth="1"/>
    <col min="6664" max="6664" width="14.7109375" customWidth="1"/>
    <col min="6665" max="6665" width="12.85546875" customWidth="1"/>
    <col min="6666" max="6666" width="10" customWidth="1"/>
    <col min="6667" max="6667" width="25" customWidth="1"/>
    <col min="6668" max="6668" width="3.5703125" customWidth="1"/>
    <col min="6912" max="6912" width="2.140625" customWidth="1"/>
    <col min="6913" max="6913" width="0.5703125" customWidth="1"/>
    <col min="6914" max="6914" width="10.7109375" customWidth="1"/>
    <col min="6915" max="6915" width="2.140625" customWidth="1"/>
    <col min="6916" max="6916" width="7.85546875" customWidth="1"/>
    <col min="6917" max="6917" width="27.7109375" customWidth="1"/>
    <col min="6918" max="6918" width="30.42578125" customWidth="1"/>
    <col min="6919" max="6919" width="11.85546875" customWidth="1"/>
    <col min="6920" max="6920" width="14.7109375" customWidth="1"/>
    <col min="6921" max="6921" width="12.85546875" customWidth="1"/>
    <col min="6922" max="6922" width="10" customWidth="1"/>
    <col min="6923" max="6923" width="25" customWidth="1"/>
    <col min="6924" max="6924" width="3.5703125" customWidth="1"/>
    <col min="7168" max="7168" width="2.140625" customWidth="1"/>
    <col min="7169" max="7169" width="0.5703125" customWidth="1"/>
    <col min="7170" max="7170" width="10.7109375" customWidth="1"/>
    <col min="7171" max="7171" width="2.140625" customWidth="1"/>
    <col min="7172" max="7172" width="7.85546875" customWidth="1"/>
    <col min="7173" max="7173" width="27.7109375" customWidth="1"/>
    <col min="7174" max="7174" width="30.42578125" customWidth="1"/>
    <col min="7175" max="7175" width="11.85546875" customWidth="1"/>
    <col min="7176" max="7176" width="14.7109375" customWidth="1"/>
    <col min="7177" max="7177" width="12.85546875" customWidth="1"/>
    <col min="7178" max="7178" width="10" customWidth="1"/>
    <col min="7179" max="7179" width="25" customWidth="1"/>
    <col min="7180" max="7180" width="3.5703125" customWidth="1"/>
    <col min="7424" max="7424" width="2.140625" customWidth="1"/>
    <col min="7425" max="7425" width="0.5703125" customWidth="1"/>
    <col min="7426" max="7426" width="10.7109375" customWidth="1"/>
    <col min="7427" max="7427" width="2.140625" customWidth="1"/>
    <col min="7428" max="7428" width="7.85546875" customWidth="1"/>
    <col min="7429" max="7429" width="27.7109375" customWidth="1"/>
    <col min="7430" max="7430" width="30.42578125" customWidth="1"/>
    <col min="7431" max="7431" width="11.85546875" customWidth="1"/>
    <col min="7432" max="7432" width="14.7109375" customWidth="1"/>
    <col min="7433" max="7433" width="12.85546875" customWidth="1"/>
    <col min="7434" max="7434" width="10" customWidth="1"/>
    <col min="7435" max="7435" width="25" customWidth="1"/>
    <col min="7436" max="7436" width="3.5703125" customWidth="1"/>
    <col min="7680" max="7680" width="2.140625" customWidth="1"/>
    <col min="7681" max="7681" width="0.5703125" customWidth="1"/>
    <col min="7682" max="7682" width="10.7109375" customWidth="1"/>
    <col min="7683" max="7683" width="2.140625" customWidth="1"/>
    <col min="7684" max="7684" width="7.85546875" customWidth="1"/>
    <col min="7685" max="7685" width="27.7109375" customWidth="1"/>
    <col min="7686" max="7686" width="30.42578125" customWidth="1"/>
    <col min="7687" max="7687" width="11.85546875" customWidth="1"/>
    <col min="7688" max="7688" width="14.7109375" customWidth="1"/>
    <col min="7689" max="7689" width="12.85546875" customWidth="1"/>
    <col min="7690" max="7690" width="10" customWidth="1"/>
    <col min="7691" max="7691" width="25" customWidth="1"/>
    <col min="7692" max="7692" width="3.5703125" customWidth="1"/>
    <col min="7936" max="7936" width="2.140625" customWidth="1"/>
    <col min="7937" max="7937" width="0.5703125" customWidth="1"/>
    <col min="7938" max="7938" width="10.7109375" customWidth="1"/>
    <col min="7939" max="7939" width="2.140625" customWidth="1"/>
    <col min="7940" max="7940" width="7.85546875" customWidth="1"/>
    <col min="7941" max="7941" width="27.7109375" customWidth="1"/>
    <col min="7942" max="7942" width="30.42578125" customWidth="1"/>
    <col min="7943" max="7943" width="11.85546875" customWidth="1"/>
    <col min="7944" max="7944" width="14.7109375" customWidth="1"/>
    <col min="7945" max="7945" width="12.85546875" customWidth="1"/>
    <col min="7946" max="7946" width="10" customWidth="1"/>
    <col min="7947" max="7947" width="25" customWidth="1"/>
    <col min="7948" max="7948" width="3.5703125" customWidth="1"/>
    <col min="8192" max="8192" width="2.140625" customWidth="1"/>
    <col min="8193" max="8193" width="0.5703125" customWidth="1"/>
    <col min="8194" max="8194" width="10.7109375" customWidth="1"/>
    <col min="8195" max="8195" width="2.140625" customWidth="1"/>
    <col min="8196" max="8196" width="7.85546875" customWidth="1"/>
    <col min="8197" max="8197" width="27.7109375" customWidth="1"/>
    <col min="8198" max="8198" width="30.42578125" customWidth="1"/>
    <col min="8199" max="8199" width="11.85546875" customWidth="1"/>
    <col min="8200" max="8200" width="14.7109375" customWidth="1"/>
    <col min="8201" max="8201" width="12.85546875" customWidth="1"/>
    <col min="8202" max="8202" width="10" customWidth="1"/>
    <col min="8203" max="8203" width="25" customWidth="1"/>
    <col min="8204" max="8204" width="3.5703125" customWidth="1"/>
    <col min="8448" max="8448" width="2.140625" customWidth="1"/>
    <col min="8449" max="8449" width="0.5703125" customWidth="1"/>
    <col min="8450" max="8450" width="10.7109375" customWidth="1"/>
    <col min="8451" max="8451" width="2.140625" customWidth="1"/>
    <col min="8452" max="8452" width="7.85546875" customWidth="1"/>
    <col min="8453" max="8453" width="27.7109375" customWidth="1"/>
    <col min="8454" max="8454" width="30.42578125" customWidth="1"/>
    <col min="8455" max="8455" width="11.85546875" customWidth="1"/>
    <col min="8456" max="8456" width="14.7109375" customWidth="1"/>
    <col min="8457" max="8457" width="12.85546875" customWidth="1"/>
    <col min="8458" max="8458" width="10" customWidth="1"/>
    <col min="8459" max="8459" width="25" customWidth="1"/>
    <col min="8460" max="8460" width="3.5703125" customWidth="1"/>
    <col min="8704" max="8704" width="2.140625" customWidth="1"/>
    <col min="8705" max="8705" width="0.5703125" customWidth="1"/>
    <col min="8706" max="8706" width="10.7109375" customWidth="1"/>
    <col min="8707" max="8707" width="2.140625" customWidth="1"/>
    <col min="8708" max="8708" width="7.85546875" customWidth="1"/>
    <col min="8709" max="8709" width="27.7109375" customWidth="1"/>
    <col min="8710" max="8710" width="30.42578125" customWidth="1"/>
    <col min="8711" max="8711" width="11.85546875" customWidth="1"/>
    <col min="8712" max="8712" width="14.7109375" customWidth="1"/>
    <col min="8713" max="8713" width="12.85546875" customWidth="1"/>
    <col min="8714" max="8714" width="10" customWidth="1"/>
    <col min="8715" max="8715" width="25" customWidth="1"/>
    <col min="8716" max="8716" width="3.5703125" customWidth="1"/>
    <col min="8960" max="8960" width="2.140625" customWidth="1"/>
    <col min="8961" max="8961" width="0.5703125" customWidth="1"/>
    <col min="8962" max="8962" width="10.7109375" customWidth="1"/>
    <col min="8963" max="8963" width="2.140625" customWidth="1"/>
    <col min="8964" max="8964" width="7.85546875" customWidth="1"/>
    <col min="8965" max="8965" width="27.7109375" customWidth="1"/>
    <col min="8966" max="8966" width="30.42578125" customWidth="1"/>
    <col min="8967" max="8967" width="11.85546875" customWidth="1"/>
    <col min="8968" max="8968" width="14.7109375" customWidth="1"/>
    <col min="8969" max="8969" width="12.85546875" customWidth="1"/>
    <col min="8970" max="8970" width="10" customWidth="1"/>
    <col min="8971" max="8971" width="25" customWidth="1"/>
    <col min="8972" max="8972" width="3.5703125" customWidth="1"/>
    <col min="9216" max="9216" width="2.140625" customWidth="1"/>
    <col min="9217" max="9217" width="0.5703125" customWidth="1"/>
    <col min="9218" max="9218" width="10.7109375" customWidth="1"/>
    <col min="9219" max="9219" width="2.140625" customWidth="1"/>
    <col min="9220" max="9220" width="7.85546875" customWidth="1"/>
    <col min="9221" max="9221" width="27.7109375" customWidth="1"/>
    <col min="9222" max="9222" width="30.42578125" customWidth="1"/>
    <col min="9223" max="9223" width="11.85546875" customWidth="1"/>
    <col min="9224" max="9224" width="14.7109375" customWidth="1"/>
    <col min="9225" max="9225" width="12.85546875" customWidth="1"/>
    <col min="9226" max="9226" width="10" customWidth="1"/>
    <col min="9227" max="9227" width="25" customWidth="1"/>
    <col min="9228" max="9228" width="3.5703125" customWidth="1"/>
    <col min="9472" max="9472" width="2.140625" customWidth="1"/>
    <col min="9473" max="9473" width="0.5703125" customWidth="1"/>
    <col min="9474" max="9474" width="10.7109375" customWidth="1"/>
    <col min="9475" max="9475" width="2.140625" customWidth="1"/>
    <col min="9476" max="9476" width="7.85546875" customWidth="1"/>
    <col min="9477" max="9477" width="27.7109375" customWidth="1"/>
    <col min="9478" max="9478" width="30.42578125" customWidth="1"/>
    <col min="9479" max="9479" width="11.85546875" customWidth="1"/>
    <col min="9480" max="9480" width="14.7109375" customWidth="1"/>
    <col min="9481" max="9481" width="12.85546875" customWidth="1"/>
    <col min="9482" max="9482" width="10" customWidth="1"/>
    <col min="9483" max="9483" width="25" customWidth="1"/>
    <col min="9484" max="9484" width="3.5703125" customWidth="1"/>
    <col min="9728" max="9728" width="2.140625" customWidth="1"/>
    <col min="9729" max="9729" width="0.5703125" customWidth="1"/>
    <col min="9730" max="9730" width="10.7109375" customWidth="1"/>
    <col min="9731" max="9731" width="2.140625" customWidth="1"/>
    <col min="9732" max="9732" width="7.85546875" customWidth="1"/>
    <col min="9733" max="9733" width="27.7109375" customWidth="1"/>
    <col min="9734" max="9734" width="30.42578125" customWidth="1"/>
    <col min="9735" max="9735" width="11.85546875" customWidth="1"/>
    <col min="9736" max="9736" width="14.7109375" customWidth="1"/>
    <col min="9737" max="9737" width="12.85546875" customWidth="1"/>
    <col min="9738" max="9738" width="10" customWidth="1"/>
    <col min="9739" max="9739" width="25" customWidth="1"/>
    <col min="9740" max="9740" width="3.5703125" customWidth="1"/>
    <col min="9984" max="9984" width="2.140625" customWidth="1"/>
    <col min="9985" max="9985" width="0.5703125" customWidth="1"/>
    <col min="9986" max="9986" width="10.7109375" customWidth="1"/>
    <col min="9987" max="9987" width="2.140625" customWidth="1"/>
    <col min="9988" max="9988" width="7.85546875" customWidth="1"/>
    <col min="9989" max="9989" width="27.7109375" customWidth="1"/>
    <col min="9990" max="9990" width="30.42578125" customWidth="1"/>
    <col min="9991" max="9991" width="11.85546875" customWidth="1"/>
    <col min="9992" max="9992" width="14.7109375" customWidth="1"/>
    <col min="9993" max="9993" width="12.85546875" customWidth="1"/>
    <col min="9994" max="9994" width="10" customWidth="1"/>
    <col min="9995" max="9995" width="25" customWidth="1"/>
    <col min="9996" max="9996" width="3.5703125" customWidth="1"/>
    <col min="10240" max="10240" width="2.140625" customWidth="1"/>
    <col min="10241" max="10241" width="0.5703125" customWidth="1"/>
    <col min="10242" max="10242" width="10.7109375" customWidth="1"/>
    <col min="10243" max="10243" width="2.140625" customWidth="1"/>
    <col min="10244" max="10244" width="7.85546875" customWidth="1"/>
    <col min="10245" max="10245" width="27.7109375" customWidth="1"/>
    <col min="10246" max="10246" width="30.42578125" customWidth="1"/>
    <col min="10247" max="10247" width="11.85546875" customWidth="1"/>
    <col min="10248" max="10248" width="14.7109375" customWidth="1"/>
    <col min="10249" max="10249" width="12.85546875" customWidth="1"/>
    <col min="10250" max="10250" width="10" customWidth="1"/>
    <col min="10251" max="10251" width="25" customWidth="1"/>
    <col min="10252" max="10252" width="3.5703125" customWidth="1"/>
    <col min="10496" max="10496" width="2.140625" customWidth="1"/>
    <col min="10497" max="10497" width="0.5703125" customWidth="1"/>
    <col min="10498" max="10498" width="10.7109375" customWidth="1"/>
    <col min="10499" max="10499" width="2.140625" customWidth="1"/>
    <col min="10500" max="10500" width="7.85546875" customWidth="1"/>
    <col min="10501" max="10501" width="27.7109375" customWidth="1"/>
    <col min="10502" max="10502" width="30.42578125" customWidth="1"/>
    <col min="10503" max="10503" width="11.85546875" customWidth="1"/>
    <col min="10504" max="10504" width="14.7109375" customWidth="1"/>
    <col min="10505" max="10505" width="12.85546875" customWidth="1"/>
    <col min="10506" max="10506" width="10" customWidth="1"/>
    <col min="10507" max="10507" width="25" customWidth="1"/>
    <col min="10508" max="10508" width="3.5703125" customWidth="1"/>
    <col min="10752" max="10752" width="2.140625" customWidth="1"/>
    <col min="10753" max="10753" width="0.5703125" customWidth="1"/>
    <col min="10754" max="10754" width="10.7109375" customWidth="1"/>
    <col min="10755" max="10755" width="2.140625" customWidth="1"/>
    <col min="10756" max="10756" width="7.85546875" customWidth="1"/>
    <col min="10757" max="10757" width="27.7109375" customWidth="1"/>
    <col min="10758" max="10758" width="30.42578125" customWidth="1"/>
    <col min="10759" max="10759" width="11.85546875" customWidth="1"/>
    <col min="10760" max="10760" width="14.7109375" customWidth="1"/>
    <col min="10761" max="10761" width="12.85546875" customWidth="1"/>
    <col min="10762" max="10762" width="10" customWidth="1"/>
    <col min="10763" max="10763" width="25" customWidth="1"/>
    <col min="10764" max="10764" width="3.5703125" customWidth="1"/>
    <col min="11008" max="11008" width="2.140625" customWidth="1"/>
    <col min="11009" max="11009" width="0.5703125" customWidth="1"/>
    <col min="11010" max="11010" width="10.7109375" customWidth="1"/>
    <col min="11011" max="11011" width="2.140625" customWidth="1"/>
    <col min="11012" max="11012" width="7.85546875" customWidth="1"/>
    <col min="11013" max="11013" width="27.7109375" customWidth="1"/>
    <col min="11014" max="11014" width="30.42578125" customWidth="1"/>
    <col min="11015" max="11015" width="11.85546875" customWidth="1"/>
    <col min="11016" max="11016" width="14.7109375" customWidth="1"/>
    <col min="11017" max="11017" width="12.85546875" customWidth="1"/>
    <col min="11018" max="11018" width="10" customWidth="1"/>
    <col min="11019" max="11019" width="25" customWidth="1"/>
    <col min="11020" max="11020" width="3.5703125" customWidth="1"/>
    <col min="11264" max="11264" width="2.140625" customWidth="1"/>
    <col min="11265" max="11265" width="0.5703125" customWidth="1"/>
    <col min="11266" max="11266" width="10.7109375" customWidth="1"/>
    <col min="11267" max="11267" width="2.140625" customWidth="1"/>
    <col min="11268" max="11268" width="7.85546875" customWidth="1"/>
    <col min="11269" max="11269" width="27.7109375" customWidth="1"/>
    <col min="11270" max="11270" width="30.42578125" customWidth="1"/>
    <col min="11271" max="11271" width="11.85546875" customWidth="1"/>
    <col min="11272" max="11272" width="14.7109375" customWidth="1"/>
    <col min="11273" max="11273" width="12.85546875" customWidth="1"/>
    <col min="11274" max="11274" width="10" customWidth="1"/>
    <col min="11275" max="11275" width="25" customWidth="1"/>
    <col min="11276" max="11276" width="3.5703125" customWidth="1"/>
    <col min="11520" max="11520" width="2.140625" customWidth="1"/>
    <col min="11521" max="11521" width="0.5703125" customWidth="1"/>
    <col min="11522" max="11522" width="10.7109375" customWidth="1"/>
    <col min="11523" max="11523" width="2.140625" customWidth="1"/>
    <col min="11524" max="11524" width="7.85546875" customWidth="1"/>
    <col min="11525" max="11525" width="27.7109375" customWidth="1"/>
    <col min="11526" max="11526" width="30.42578125" customWidth="1"/>
    <col min="11527" max="11527" width="11.85546875" customWidth="1"/>
    <col min="11528" max="11528" width="14.7109375" customWidth="1"/>
    <col min="11529" max="11529" width="12.85546875" customWidth="1"/>
    <col min="11530" max="11530" width="10" customWidth="1"/>
    <col min="11531" max="11531" width="25" customWidth="1"/>
    <col min="11532" max="11532" width="3.5703125" customWidth="1"/>
    <col min="11776" max="11776" width="2.140625" customWidth="1"/>
    <col min="11777" max="11777" width="0.5703125" customWidth="1"/>
    <col min="11778" max="11778" width="10.7109375" customWidth="1"/>
    <col min="11779" max="11779" width="2.140625" customWidth="1"/>
    <col min="11780" max="11780" width="7.85546875" customWidth="1"/>
    <col min="11781" max="11781" width="27.7109375" customWidth="1"/>
    <col min="11782" max="11782" width="30.42578125" customWidth="1"/>
    <col min="11783" max="11783" width="11.85546875" customWidth="1"/>
    <col min="11784" max="11784" width="14.7109375" customWidth="1"/>
    <col min="11785" max="11785" width="12.85546875" customWidth="1"/>
    <col min="11786" max="11786" width="10" customWidth="1"/>
    <col min="11787" max="11787" width="25" customWidth="1"/>
    <col min="11788" max="11788" width="3.5703125" customWidth="1"/>
    <col min="12032" max="12032" width="2.140625" customWidth="1"/>
    <col min="12033" max="12033" width="0.5703125" customWidth="1"/>
    <col min="12034" max="12034" width="10.7109375" customWidth="1"/>
    <col min="12035" max="12035" width="2.140625" customWidth="1"/>
    <col min="12036" max="12036" width="7.85546875" customWidth="1"/>
    <col min="12037" max="12037" width="27.7109375" customWidth="1"/>
    <col min="12038" max="12038" width="30.42578125" customWidth="1"/>
    <col min="12039" max="12039" width="11.85546875" customWidth="1"/>
    <col min="12040" max="12040" width="14.7109375" customWidth="1"/>
    <col min="12041" max="12041" width="12.85546875" customWidth="1"/>
    <col min="12042" max="12042" width="10" customWidth="1"/>
    <col min="12043" max="12043" width="25" customWidth="1"/>
    <col min="12044" max="12044" width="3.5703125" customWidth="1"/>
    <col min="12288" max="12288" width="2.140625" customWidth="1"/>
    <col min="12289" max="12289" width="0.5703125" customWidth="1"/>
    <col min="12290" max="12290" width="10.7109375" customWidth="1"/>
    <col min="12291" max="12291" width="2.140625" customWidth="1"/>
    <col min="12292" max="12292" width="7.85546875" customWidth="1"/>
    <col min="12293" max="12293" width="27.7109375" customWidth="1"/>
    <col min="12294" max="12294" width="30.42578125" customWidth="1"/>
    <col min="12295" max="12295" width="11.85546875" customWidth="1"/>
    <col min="12296" max="12296" width="14.7109375" customWidth="1"/>
    <col min="12297" max="12297" width="12.85546875" customWidth="1"/>
    <col min="12298" max="12298" width="10" customWidth="1"/>
    <col min="12299" max="12299" width="25" customWidth="1"/>
    <col min="12300" max="12300" width="3.5703125" customWidth="1"/>
    <col min="12544" max="12544" width="2.140625" customWidth="1"/>
    <col min="12545" max="12545" width="0.5703125" customWidth="1"/>
    <col min="12546" max="12546" width="10.7109375" customWidth="1"/>
    <col min="12547" max="12547" width="2.140625" customWidth="1"/>
    <col min="12548" max="12548" width="7.85546875" customWidth="1"/>
    <col min="12549" max="12549" width="27.7109375" customWidth="1"/>
    <col min="12550" max="12550" width="30.42578125" customWidth="1"/>
    <col min="12551" max="12551" width="11.85546875" customWidth="1"/>
    <col min="12552" max="12552" width="14.7109375" customWidth="1"/>
    <col min="12553" max="12553" width="12.85546875" customWidth="1"/>
    <col min="12554" max="12554" width="10" customWidth="1"/>
    <col min="12555" max="12555" width="25" customWidth="1"/>
    <col min="12556" max="12556" width="3.5703125" customWidth="1"/>
    <col min="12800" max="12800" width="2.140625" customWidth="1"/>
    <col min="12801" max="12801" width="0.5703125" customWidth="1"/>
    <col min="12802" max="12802" width="10.7109375" customWidth="1"/>
    <col min="12803" max="12803" width="2.140625" customWidth="1"/>
    <col min="12804" max="12804" width="7.85546875" customWidth="1"/>
    <col min="12805" max="12805" width="27.7109375" customWidth="1"/>
    <col min="12806" max="12806" width="30.42578125" customWidth="1"/>
    <col min="12807" max="12807" width="11.85546875" customWidth="1"/>
    <col min="12808" max="12808" width="14.7109375" customWidth="1"/>
    <col min="12809" max="12809" width="12.85546875" customWidth="1"/>
    <col min="12810" max="12810" width="10" customWidth="1"/>
    <col min="12811" max="12811" width="25" customWidth="1"/>
    <col min="12812" max="12812" width="3.5703125" customWidth="1"/>
    <col min="13056" max="13056" width="2.140625" customWidth="1"/>
    <col min="13057" max="13057" width="0.5703125" customWidth="1"/>
    <col min="13058" max="13058" width="10.7109375" customWidth="1"/>
    <col min="13059" max="13059" width="2.140625" customWidth="1"/>
    <col min="13060" max="13060" width="7.85546875" customWidth="1"/>
    <col min="13061" max="13061" width="27.7109375" customWidth="1"/>
    <col min="13062" max="13062" width="30.42578125" customWidth="1"/>
    <col min="13063" max="13063" width="11.85546875" customWidth="1"/>
    <col min="13064" max="13064" width="14.7109375" customWidth="1"/>
    <col min="13065" max="13065" width="12.85546875" customWidth="1"/>
    <col min="13066" max="13066" width="10" customWidth="1"/>
    <col min="13067" max="13067" width="25" customWidth="1"/>
    <col min="13068" max="13068" width="3.5703125" customWidth="1"/>
    <col min="13312" max="13312" width="2.140625" customWidth="1"/>
    <col min="13313" max="13313" width="0.5703125" customWidth="1"/>
    <col min="13314" max="13314" width="10.7109375" customWidth="1"/>
    <col min="13315" max="13315" width="2.140625" customWidth="1"/>
    <col min="13316" max="13316" width="7.85546875" customWidth="1"/>
    <col min="13317" max="13317" width="27.7109375" customWidth="1"/>
    <col min="13318" max="13318" width="30.42578125" customWidth="1"/>
    <col min="13319" max="13319" width="11.85546875" customWidth="1"/>
    <col min="13320" max="13320" width="14.7109375" customWidth="1"/>
    <col min="13321" max="13321" width="12.85546875" customWidth="1"/>
    <col min="13322" max="13322" width="10" customWidth="1"/>
    <col min="13323" max="13323" width="25" customWidth="1"/>
    <col min="13324" max="13324" width="3.5703125" customWidth="1"/>
    <col min="13568" max="13568" width="2.140625" customWidth="1"/>
    <col min="13569" max="13569" width="0.5703125" customWidth="1"/>
    <col min="13570" max="13570" width="10.7109375" customWidth="1"/>
    <col min="13571" max="13571" width="2.140625" customWidth="1"/>
    <col min="13572" max="13572" width="7.85546875" customWidth="1"/>
    <col min="13573" max="13573" width="27.7109375" customWidth="1"/>
    <col min="13574" max="13574" width="30.42578125" customWidth="1"/>
    <col min="13575" max="13575" width="11.85546875" customWidth="1"/>
    <col min="13576" max="13576" width="14.7109375" customWidth="1"/>
    <col min="13577" max="13577" width="12.85546875" customWidth="1"/>
    <col min="13578" max="13578" width="10" customWidth="1"/>
    <col min="13579" max="13579" width="25" customWidth="1"/>
    <col min="13580" max="13580" width="3.5703125" customWidth="1"/>
    <col min="13824" max="13824" width="2.140625" customWidth="1"/>
    <col min="13825" max="13825" width="0.5703125" customWidth="1"/>
    <col min="13826" max="13826" width="10.7109375" customWidth="1"/>
    <col min="13827" max="13827" width="2.140625" customWidth="1"/>
    <col min="13828" max="13828" width="7.85546875" customWidth="1"/>
    <col min="13829" max="13829" width="27.7109375" customWidth="1"/>
    <col min="13830" max="13830" width="30.42578125" customWidth="1"/>
    <col min="13831" max="13831" width="11.85546875" customWidth="1"/>
    <col min="13832" max="13832" width="14.7109375" customWidth="1"/>
    <col min="13833" max="13833" width="12.85546875" customWidth="1"/>
    <col min="13834" max="13834" width="10" customWidth="1"/>
    <col min="13835" max="13835" width="25" customWidth="1"/>
    <col min="13836" max="13836" width="3.5703125" customWidth="1"/>
    <col min="14080" max="14080" width="2.140625" customWidth="1"/>
    <col min="14081" max="14081" width="0.5703125" customWidth="1"/>
    <col min="14082" max="14082" width="10.7109375" customWidth="1"/>
    <col min="14083" max="14083" width="2.140625" customWidth="1"/>
    <col min="14084" max="14084" width="7.85546875" customWidth="1"/>
    <col min="14085" max="14085" width="27.7109375" customWidth="1"/>
    <col min="14086" max="14086" width="30.42578125" customWidth="1"/>
    <col min="14087" max="14087" width="11.85546875" customWidth="1"/>
    <col min="14088" max="14088" width="14.7109375" customWidth="1"/>
    <col min="14089" max="14089" width="12.85546875" customWidth="1"/>
    <col min="14090" max="14090" width="10" customWidth="1"/>
    <col min="14091" max="14091" width="25" customWidth="1"/>
    <col min="14092" max="14092" width="3.5703125" customWidth="1"/>
    <col min="14336" max="14336" width="2.140625" customWidth="1"/>
    <col min="14337" max="14337" width="0.5703125" customWidth="1"/>
    <col min="14338" max="14338" width="10.7109375" customWidth="1"/>
    <col min="14339" max="14339" width="2.140625" customWidth="1"/>
    <col min="14340" max="14340" width="7.85546875" customWidth="1"/>
    <col min="14341" max="14341" width="27.7109375" customWidth="1"/>
    <col min="14342" max="14342" width="30.42578125" customWidth="1"/>
    <col min="14343" max="14343" width="11.85546875" customWidth="1"/>
    <col min="14344" max="14344" width="14.7109375" customWidth="1"/>
    <col min="14345" max="14345" width="12.85546875" customWidth="1"/>
    <col min="14346" max="14346" width="10" customWidth="1"/>
    <col min="14347" max="14347" width="25" customWidth="1"/>
    <col min="14348" max="14348" width="3.5703125" customWidth="1"/>
    <col min="14592" max="14592" width="2.140625" customWidth="1"/>
    <col min="14593" max="14593" width="0.5703125" customWidth="1"/>
    <col min="14594" max="14594" width="10.7109375" customWidth="1"/>
    <col min="14595" max="14595" width="2.140625" customWidth="1"/>
    <col min="14596" max="14596" width="7.85546875" customWidth="1"/>
    <col min="14597" max="14597" width="27.7109375" customWidth="1"/>
    <col min="14598" max="14598" width="30.42578125" customWidth="1"/>
    <col min="14599" max="14599" width="11.85546875" customWidth="1"/>
    <col min="14600" max="14600" width="14.7109375" customWidth="1"/>
    <col min="14601" max="14601" width="12.85546875" customWidth="1"/>
    <col min="14602" max="14602" width="10" customWidth="1"/>
    <col min="14603" max="14603" width="25" customWidth="1"/>
    <col min="14604" max="14604" width="3.5703125" customWidth="1"/>
    <col min="14848" max="14848" width="2.140625" customWidth="1"/>
    <col min="14849" max="14849" width="0.5703125" customWidth="1"/>
    <col min="14850" max="14850" width="10.7109375" customWidth="1"/>
    <col min="14851" max="14851" width="2.140625" customWidth="1"/>
    <col min="14852" max="14852" width="7.85546875" customWidth="1"/>
    <col min="14853" max="14853" width="27.7109375" customWidth="1"/>
    <col min="14854" max="14854" width="30.42578125" customWidth="1"/>
    <col min="14855" max="14855" width="11.85546875" customWidth="1"/>
    <col min="14856" max="14856" width="14.7109375" customWidth="1"/>
    <col min="14857" max="14857" width="12.85546875" customWidth="1"/>
    <col min="14858" max="14858" width="10" customWidth="1"/>
    <col min="14859" max="14859" width="25" customWidth="1"/>
    <col min="14860" max="14860" width="3.5703125" customWidth="1"/>
    <col min="15104" max="15104" width="2.140625" customWidth="1"/>
    <col min="15105" max="15105" width="0.5703125" customWidth="1"/>
    <col min="15106" max="15106" width="10.7109375" customWidth="1"/>
    <col min="15107" max="15107" width="2.140625" customWidth="1"/>
    <col min="15108" max="15108" width="7.85546875" customWidth="1"/>
    <col min="15109" max="15109" width="27.7109375" customWidth="1"/>
    <col min="15110" max="15110" width="30.42578125" customWidth="1"/>
    <col min="15111" max="15111" width="11.85546875" customWidth="1"/>
    <col min="15112" max="15112" width="14.7109375" customWidth="1"/>
    <col min="15113" max="15113" width="12.85546875" customWidth="1"/>
    <col min="15114" max="15114" width="10" customWidth="1"/>
    <col min="15115" max="15115" width="25" customWidth="1"/>
    <col min="15116" max="15116" width="3.5703125" customWidth="1"/>
    <col min="15360" max="15360" width="2.140625" customWidth="1"/>
    <col min="15361" max="15361" width="0.5703125" customWidth="1"/>
    <col min="15362" max="15362" width="10.7109375" customWidth="1"/>
    <col min="15363" max="15363" width="2.140625" customWidth="1"/>
    <col min="15364" max="15364" width="7.85546875" customWidth="1"/>
    <col min="15365" max="15365" width="27.7109375" customWidth="1"/>
    <col min="15366" max="15366" width="30.42578125" customWidth="1"/>
    <col min="15367" max="15367" width="11.85546875" customWidth="1"/>
    <col min="15368" max="15368" width="14.7109375" customWidth="1"/>
    <col min="15369" max="15369" width="12.85546875" customWidth="1"/>
    <col min="15370" max="15370" width="10" customWidth="1"/>
    <col min="15371" max="15371" width="25" customWidth="1"/>
    <col min="15372" max="15372" width="3.5703125" customWidth="1"/>
    <col min="15616" max="15616" width="2.140625" customWidth="1"/>
    <col min="15617" max="15617" width="0.5703125" customWidth="1"/>
    <col min="15618" max="15618" width="10.7109375" customWidth="1"/>
    <col min="15619" max="15619" width="2.140625" customWidth="1"/>
    <col min="15620" max="15620" width="7.85546875" customWidth="1"/>
    <col min="15621" max="15621" width="27.7109375" customWidth="1"/>
    <col min="15622" max="15622" width="30.42578125" customWidth="1"/>
    <col min="15623" max="15623" width="11.85546875" customWidth="1"/>
    <col min="15624" max="15624" width="14.7109375" customWidth="1"/>
    <col min="15625" max="15625" width="12.85546875" customWidth="1"/>
    <col min="15626" max="15626" width="10" customWidth="1"/>
    <col min="15627" max="15627" width="25" customWidth="1"/>
    <col min="15628" max="15628" width="3.5703125" customWidth="1"/>
    <col min="15872" max="15872" width="2.140625" customWidth="1"/>
    <col min="15873" max="15873" width="0.5703125" customWidth="1"/>
    <col min="15874" max="15874" width="10.7109375" customWidth="1"/>
    <col min="15875" max="15875" width="2.140625" customWidth="1"/>
    <col min="15876" max="15876" width="7.85546875" customWidth="1"/>
    <col min="15877" max="15877" width="27.7109375" customWidth="1"/>
    <col min="15878" max="15878" width="30.42578125" customWidth="1"/>
    <col min="15879" max="15879" width="11.85546875" customWidth="1"/>
    <col min="15880" max="15880" width="14.7109375" customWidth="1"/>
    <col min="15881" max="15881" width="12.85546875" customWidth="1"/>
    <col min="15882" max="15882" width="10" customWidth="1"/>
    <col min="15883" max="15883" width="25" customWidth="1"/>
    <col min="15884" max="15884" width="3.5703125" customWidth="1"/>
    <col min="16128" max="16128" width="2.140625" customWidth="1"/>
    <col min="16129" max="16129" width="0.5703125" customWidth="1"/>
    <col min="16130" max="16130" width="10.7109375" customWidth="1"/>
    <col min="16131" max="16131" width="2.140625" customWidth="1"/>
    <col min="16132" max="16132" width="7.85546875" customWidth="1"/>
    <col min="16133" max="16133" width="27.7109375" customWidth="1"/>
    <col min="16134" max="16134" width="30.42578125" customWidth="1"/>
    <col min="16135" max="16135" width="11.85546875" customWidth="1"/>
    <col min="16136" max="16136" width="14.7109375" customWidth="1"/>
    <col min="16137" max="16137" width="12.85546875" customWidth="1"/>
    <col min="16138" max="16138" width="10" customWidth="1"/>
    <col min="16139" max="16139" width="25" customWidth="1"/>
    <col min="16140" max="16140" width="3.5703125" customWidth="1"/>
  </cols>
  <sheetData>
    <row r="1" spans="1:12" x14ac:dyDescent="0.25">
      <c r="A1" s="177"/>
      <c r="B1" s="177"/>
      <c r="C1" s="177"/>
      <c r="D1" s="177"/>
      <c r="E1" s="177"/>
      <c r="F1" s="177"/>
      <c r="G1" s="177"/>
      <c r="H1" s="177"/>
      <c r="I1" s="177"/>
      <c r="J1" s="177"/>
      <c r="K1" s="177"/>
      <c r="L1" s="177"/>
    </row>
    <row r="2" spans="1:12" x14ac:dyDescent="0.25">
      <c r="A2" s="177"/>
      <c r="B2" s="177"/>
      <c r="C2" s="177"/>
    </row>
    <row r="4" spans="1:12" ht="18" x14ac:dyDescent="0.25">
      <c r="B4" s="6" t="s">
        <v>2</v>
      </c>
      <c r="C4" s="178" t="s">
        <v>3</v>
      </c>
      <c r="D4" s="176"/>
      <c r="E4" s="6" t="s">
        <v>4</v>
      </c>
      <c r="F4" s="6" t="s">
        <v>5</v>
      </c>
      <c r="G4" s="6" t="s">
        <v>6</v>
      </c>
      <c r="H4" s="6" t="s">
        <v>7</v>
      </c>
      <c r="I4" s="6" t="s">
        <v>8</v>
      </c>
      <c r="J4" s="6" t="s">
        <v>9</v>
      </c>
      <c r="K4" s="6" t="s">
        <v>10</v>
      </c>
    </row>
    <row r="5" spans="1:12" ht="90" x14ac:dyDescent="0.25">
      <c r="B5" s="7" t="s">
        <v>22</v>
      </c>
      <c r="C5" s="175">
        <v>43474</v>
      </c>
      <c r="D5" s="176"/>
      <c r="E5" s="8" t="s">
        <v>23</v>
      </c>
      <c r="F5" s="8" t="s">
        <v>24</v>
      </c>
      <c r="G5" s="9">
        <v>37350</v>
      </c>
      <c r="H5" s="7" t="s">
        <v>25</v>
      </c>
      <c r="I5" s="7" t="s">
        <v>26</v>
      </c>
      <c r="J5" s="7" t="s">
        <v>11</v>
      </c>
      <c r="K5" s="10" t="s">
        <v>27</v>
      </c>
    </row>
    <row r="6" spans="1:12" ht="45" x14ac:dyDescent="0.25">
      <c r="B6" s="7" t="s">
        <v>28</v>
      </c>
      <c r="C6" s="175">
        <v>43481</v>
      </c>
      <c r="D6" s="176"/>
      <c r="E6" s="8" t="s">
        <v>29</v>
      </c>
      <c r="F6" s="8" t="s">
        <v>30</v>
      </c>
      <c r="G6" s="9">
        <v>77953.8</v>
      </c>
      <c r="H6" s="7" t="s">
        <v>31</v>
      </c>
      <c r="I6" s="7" t="s">
        <v>32</v>
      </c>
      <c r="J6" s="7" t="s">
        <v>11</v>
      </c>
      <c r="K6" s="10" t="s">
        <v>33</v>
      </c>
    </row>
    <row r="7" spans="1:12" ht="90" x14ac:dyDescent="0.25">
      <c r="B7" s="7" t="s">
        <v>34</v>
      </c>
      <c r="C7" s="175">
        <v>43607</v>
      </c>
      <c r="D7" s="176"/>
      <c r="E7" s="8" t="s">
        <v>35</v>
      </c>
      <c r="F7" s="8" t="s">
        <v>36</v>
      </c>
      <c r="G7" s="9">
        <v>22365</v>
      </c>
      <c r="H7" s="7" t="s">
        <v>37</v>
      </c>
      <c r="I7" s="7" t="s">
        <v>38</v>
      </c>
      <c r="J7" s="7" t="s">
        <v>11</v>
      </c>
      <c r="K7" s="10" t="s">
        <v>39</v>
      </c>
    </row>
    <row r="8" spans="1:12" ht="78.75" x14ac:dyDescent="0.25">
      <c r="B8" s="7" t="s">
        <v>40</v>
      </c>
      <c r="C8" s="175">
        <v>43612</v>
      </c>
      <c r="D8" s="176"/>
      <c r="E8" s="8" t="s">
        <v>41</v>
      </c>
      <c r="F8" s="8" t="s">
        <v>42</v>
      </c>
      <c r="G8" s="9">
        <v>3360</v>
      </c>
      <c r="H8" s="7" t="s">
        <v>43</v>
      </c>
      <c r="I8" s="7" t="s">
        <v>44</v>
      </c>
      <c r="J8" s="7" t="s">
        <v>11</v>
      </c>
      <c r="K8" s="10" t="s">
        <v>45</v>
      </c>
    </row>
    <row r="9" spans="1:12" ht="56.25" x14ac:dyDescent="0.25">
      <c r="B9" s="7" t="s">
        <v>46</v>
      </c>
      <c r="C9" s="175">
        <v>43654</v>
      </c>
      <c r="D9" s="176"/>
      <c r="E9" s="8" t="s">
        <v>23</v>
      </c>
      <c r="F9" s="8" t="s">
        <v>47</v>
      </c>
      <c r="G9" s="9">
        <v>8749.5</v>
      </c>
      <c r="H9" s="7" t="s">
        <v>43</v>
      </c>
      <c r="I9" s="7" t="s">
        <v>48</v>
      </c>
      <c r="J9" s="7" t="s">
        <v>11</v>
      </c>
      <c r="K9" s="10" t="s">
        <v>49</v>
      </c>
    </row>
    <row r="10" spans="1:12" hidden="1" x14ac:dyDescent="0.25"/>
  </sheetData>
  <mergeCells count="8">
    <mergeCell ref="C7:D7"/>
    <mergeCell ref="C8:D8"/>
    <mergeCell ref="C9:D9"/>
    <mergeCell ref="A1:L1"/>
    <mergeCell ref="A2:C2"/>
    <mergeCell ref="C4:D4"/>
    <mergeCell ref="C5:D5"/>
    <mergeCell ref="C6:D6"/>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
  <sheetViews>
    <sheetView topLeftCell="A13" workbookViewId="0">
      <selection activeCell="L5" sqref="L5:L10"/>
    </sheetView>
  </sheetViews>
  <sheetFormatPr defaultRowHeight="15" x14ac:dyDescent="0.25"/>
  <cols>
    <col min="1" max="1" width="2.140625" customWidth="1"/>
    <col min="2" max="2" width="0.5703125" customWidth="1"/>
    <col min="3" max="3" width="10.7109375" customWidth="1"/>
    <col min="4" max="4" width="2.140625" customWidth="1"/>
    <col min="5" max="5" width="7.85546875" customWidth="1"/>
    <col min="6" max="6" width="27.7109375" customWidth="1"/>
    <col min="7" max="7" width="30.42578125" customWidth="1"/>
    <col min="8" max="8" width="11.85546875" customWidth="1"/>
    <col min="9" max="9" width="14.7109375" customWidth="1"/>
    <col min="10" max="10" width="12.85546875" customWidth="1"/>
    <col min="11" max="11" width="10" customWidth="1"/>
    <col min="12" max="12" width="25" customWidth="1"/>
    <col min="13" max="13" width="3.5703125" customWidth="1"/>
    <col min="257" max="257" width="2.140625" customWidth="1"/>
    <col min="258" max="258" width="0.5703125" customWidth="1"/>
    <col min="259" max="259" width="10.7109375" customWidth="1"/>
    <col min="260" max="260" width="2.140625" customWidth="1"/>
    <col min="261" max="261" width="7.85546875" customWidth="1"/>
    <col min="262" max="262" width="27.7109375" customWidth="1"/>
    <col min="263" max="263" width="30.42578125" customWidth="1"/>
    <col min="264" max="264" width="11.85546875" customWidth="1"/>
    <col min="265" max="265" width="14.7109375" customWidth="1"/>
    <col min="266" max="266" width="12.85546875" customWidth="1"/>
    <col min="267" max="267" width="10" customWidth="1"/>
    <col min="268" max="268" width="25" customWidth="1"/>
    <col min="269" max="269" width="3.5703125" customWidth="1"/>
    <col min="513" max="513" width="2.140625" customWidth="1"/>
    <col min="514" max="514" width="0.5703125" customWidth="1"/>
    <col min="515" max="515" width="10.7109375" customWidth="1"/>
    <col min="516" max="516" width="2.140625" customWidth="1"/>
    <col min="517" max="517" width="7.85546875" customWidth="1"/>
    <col min="518" max="518" width="27.7109375" customWidth="1"/>
    <col min="519" max="519" width="30.42578125" customWidth="1"/>
    <col min="520" max="520" width="11.85546875" customWidth="1"/>
    <col min="521" max="521" width="14.7109375" customWidth="1"/>
    <col min="522" max="522" width="12.85546875" customWidth="1"/>
    <col min="523" max="523" width="10" customWidth="1"/>
    <col min="524" max="524" width="25" customWidth="1"/>
    <col min="525" max="525" width="3.5703125" customWidth="1"/>
    <col min="769" max="769" width="2.140625" customWidth="1"/>
    <col min="770" max="770" width="0.5703125" customWidth="1"/>
    <col min="771" max="771" width="10.7109375" customWidth="1"/>
    <col min="772" max="772" width="2.140625" customWidth="1"/>
    <col min="773" max="773" width="7.85546875" customWidth="1"/>
    <col min="774" max="774" width="27.7109375" customWidth="1"/>
    <col min="775" max="775" width="30.42578125" customWidth="1"/>
    <col min="776" max="776" width="11.85546875" customWidth="1"/>
    <col min="777" max="777" width="14.7109375" customWidth="1"/>
    <col min="778" max="778" width="12.85546875" customWidth="1"/>
    <col min="779" max="779" width="10" customWidth="1"/>
    <col min="780" max="780" width="25" customWidth="1"/>
    <col min="781" max="781" width="3.5703125" customWidth="1"/>
    <col min="1025" max="1025" width="2.140625" customWidth="1"/>
    <col min="1026" max="1026" width="0.5703125" customWidth="1"/>
    <col min="1027" max="1027" width="10.7109375" customWidth="1"/>
    <col min="1028" max="1028" width="2.140625" customWidth="1"/>
    <col min="1029" max="1029" width="7.85546875" customWidth="1"/>
    <col min="1030" max="1030" width="27.7109375" customWidth="1"/>
    <col min="1031" max="1031" width="30.42578125" customWidth="1"/>
    <col min="1032" max="1032" width="11.85546875" customWidth="1"/>
    <col min="1033" max="1033" width="14.7109375" customWidth="1"/>
    <col min="1034" max="1034" width="12.85546875" customWidth="1"/>
    <col min="1035" max="1035" width="10" customWidth="1"/>
    <col min="1036" max="1036" width="25" customWidth="1"/>
    <col min="1037" max="1037" width="3.5703125" customWidth="1"/>
    <col min="1281" max="1281" width="2.140625" customWidth="1"/>
    <col min="1282" max="1282" width="0.5703125" customWidth="1"/>
    <col min="1283" max="1283" width="10.7109375" customWidth="1"/>
    <col min="1284" max="1284" width="2.140625" customWidth="1"/>
    <col min="1285" max="1285" width="7.85546875" customWidth="1"/>
    <col min="1286" max="1286" width="27.7109375" customWidth="1"/>
    <col min="1287" max="1287" width="30.42578125" customWidth="1"/>
    <col min="1288" max="1288" width="11.85546875" customWidth="1"/>
    <col min="1289" max="1289" width="14.7109375" customWidth="1"/>
    <col min="1290" max="1290" width="12.85546875" customWidth="1"/>
    <col min="1291" max="1291" width="10" customWidth="1"/>
    <col min="1292" max="1292" width="25" customWidth="1"/>
    <col min="1293" max="1293" width="3.5703125" customWidth="1"/>
    <col min="1537" max="1537" width="2.140625" customWidth="1"/>
    <col min="1538" max="1538" width="0.5703125" customWidth="1"/>
    <col min="1539" max="1539" width="10.7109375" customWidth="1"/>
    <col min="1540" max="1540" width="2.140625" customWidth="1"/>
    <col min="1541" max="1541" width="7.85546875" customWidth="1"/>
    <col min="1542" max="1542" width="27.7109375" customWidth="1"/>
    <col min="1543" max="1543" width="30.42578125" customWidth="1"/>
    <col min="1544" max="1544" width="11.85546875" customWidth="1"/>
    <col min="1545" max="1545" width="14.7109375" customWidth="1"/>
    <col min="1546" max="1546" width="12.85546875" customWidth="1"/>
    <col min="1547" max="1547" width="10" customWidth="1"/>
    <col min="1548" max="1548" width="25" customWidth="1"/>
    <col min="1549" max="1549" width="3.5703125" customWidth="1"/>
    <col min="1793" max="1793" width="2.140625" customWidth="1"/>
    <col min="1794" max="1794" width="0.5703125" customWidth="1"/>
    <col min="1795" max="1795" width="10.7109375" customWidth="1"/>
    <col min="1796" max="1796" width="2.140625" customWidth="1"/>
    <col min="1797" max="1797" width="7.85546875" customWidth="1"/>
    <col min="1798" max="1798" width="27.7109375" customWidth="1"/>
    <col min="1799" max="1799" width="30.42578125" customWidth="1"/>
    <col min="1800" max="1800" width="11.85546875" customWidth="1"/>
    <col min="1801" max="1801" width="14.7109375" customWidth="1"/>
    <col min="1802" max="1802" width="12.85546875" customWidth="1"/>
    <col min="1803" max="1803" width="10" customWidth="1"/>
    <col min="1804" max="1804" width="25" customWidth="1"/>
    <col min="1805" max="1805" width="3.5703125" customWidth="1"/>
    <col min="2049" max="2049" width="2.140625" customWidth="1"/>
    <col min="2050" max="2050" width="0.5703125" customWidth="1"/>
    <col min="2051" max="2051" width="10.7109375" customWidth="1"/>
    <col min="2052" max="2052" width="2.140625" customWidth="1"/>
    <col min="2053" max="2053" width="7.85546875" customWidth="1"/>
    <col min="2054" max="2054" width="27.7109375" customWidth="1"/>
    <col min="2055" max="2055" width="30.42578125" customWidth="1"/>
    <col min="2056" max="2056" width="11.85546875" customWidth="1"/>
    <col min="2057" max="2057" width="14.7109375" customWidth="1"/>
    <col min="2058" max="2058" width="12.85546875" customWidth="1"/>
    <col min="2059" max="2059" width="10" customWidth="1"/>
    <col min="2060" max="2060" width="25" customWidth="1"/>
    <col min="2061" max="2061" width="3.5703125" customWidth="1"/>
    <col min="2305" max="2305" width="2.140625" customWidth="1"/>
    <col min="2306" max="2306" width="0.5703125" customWidth="1"/>
    <col min="2307" max="2307" width="10.7109375" customWidth="1"/>
    <col min="2308" max="2308" width="2.140625" customWidth="1"/>
    <col min="2309" max="2309" width="7.85546875" customWidth="1"/>
    <col min="2310" max="2310" width="27.7109375" customWidth="1"/>
    <col min="2311" max="2311" width="30.42578125" customWidth="1"/>
    <col min="2312" max="2312" width="11.85546875" customWidth="1"/>
    <col min="2313" max="2313" width="14.7109375" customWidth="1"/>
    <col min="2314" max="2314" width="12.85546875" customWidth="1"/>
    <col min="2315" max="2315" width="10" customWidth="1"/>
    <col min="2316" max="2316" width="25" customWidth="1"/>
    <col min="2317" max="2317" width="3.5703125" customWidth="1"/>
    <col min="2561" max="2561" width="2.140625" customWidth="1"/>
    <col min="2562" max="2562" width="0.5703125" customWidth="1"/>
    <col min="2563" max="2563" width="10.7109375" customWidth="1"/>
    <col min="2564" max="2564" width="2.140625" customWidth="1"/>
    <col min="2565" max="2565" width="7.85546875" customWidth="1"/>
    <col min="2566" max="2566" width="27.7109375" customWidth="1"/>
    <col min="2567" max="2567" width="30.42578125" customWidth="1"/>
    <col min="2568" max="2568" width="11.85546875" customWidth="1"/>
    <col min="2569" max="2569" width="14.7109375" customWidth="1"/>
    <col min="2570" max="2570" width="12.85546875" customWidth="1"/>
    <col min="2571" max="2571" width="10" customWidth="1"/>
    <col min="2572" max="2572" width="25" customWidth="1"/>
    <col min="2573" max="2573" width="3.5703125" customWidth="1"/>
    <col min="2817" max="2817" width="2.140625" customWidth="1"/>
    <col min="2818" max="2818" width="0.5703125" customWidth="1"/>
    <col min="2819" max="2819" width="10.7109375" customWidth="1"/>
    <col min="2820" max="2820" width="2.140625" customWidth="1"/>
    <col min="2821" max="2821" width="7.85546875" customWidth="1"/>
    <col min="2822" max="2822" width="27.7109375" customWidth="1"/>
    <col min="2823" max="2823" width="30.42578125" customWidth="1"/>
    <col min="2824" max="2824" width="11.85546875" customWidth="1"/>
    <col min="2825" max="2825" width="14.7109375" customWidth="1"/>
    <col min="2826" max="2826" width="12.85546875" customWidth="1"/>
    <col min="2827" max="2827" width="10" customWidth="1"/>
    <col min="2828" max="2828" width="25" customWidth="1"/>
    <col min="2829" max="2829" width="3.5703125" customWidth="1"/>
    <col min="3073" max="3073" width="2.140625" customWidth="1"/>
    <col min="3074" max="3074" width="0.5703125" customWidth="1"/>
    <col min="3075" max="3075" width="10.7109375" customWidth="1"/>
    <col min="3076" max="3076" width="2.140625" customWidth="1"/>
    <col min="3077" max="3077" width="7.85546875" customWidth="1"/>
    <col min="3078" max="3078" width="27.7109375" customWidth="1"/>
    <col min="3079" max="3079" width="30.42578125" customWidth="1"/>
    <col min="3080" max="3080" width="11.85546875" customWidth="1"/>
    <col min="3081" max="3081" width="14.7109375" customWidth="1"/>
    <col min="3082" max="3082" width="12.85546875" customWidth="1"/>
    <col min="3083" max="3083" width="10" customWidth="1"/>
    <col min="3084" max="3084" width="25" customWidth="1"/>
    <col min="3085" max="3085" width="3.5703125" customWidth="1"/>
    <col min="3329" max="3329" width="2.140625" customWidth="1"/>
    <col min="3330" max="3330" width="0.5703125" customWidth="1"/>
    <col min="3331" max="3331" width="10.7109375" customWidth="1"/>
    <col min="3332" max="3332" width="2.140625" customWidth="1"/>
    <col min="3333" max="3333" width="7.85546875" customWidth="1"/>
    <col min="3334" max="3334" width="27.7109375" customWidth="1"/>
    <col min="3335" max="3335" width="30.42578125" customWidth="1"/>
    <col min="3336" max="3336" width="11.85546875" customWidth="1"/>
    <col min="3337" max="3337" width="14.7109375" customWidth="1"/>
    <col min="3338" max="3338" width="12.85546875" customWidth="1"/>
    <col min="3339" max="3339" width="10" customWidth="1"/>
    <col min="3340" max="3340" width="25" customWidth="1"/>
    <col min="3341" max="3341" width="3.5703125" customWidth="1"/>
    <col min="3585" max="3585" width="2.140625" customWidth="1"/>
    <col min="3586" max="3586" width="0.5703125" customWidth="1"/>
    <col min="3587" max="3587" width="10.7109375" customWidth="1"/>
    <col min="3588" max="3588" width="2.140625" customWidth="1"/>
    <col min="3589" max="3589" width="7.85546875" customWidth="1"/>
    <col min="3590" max="3590" width="27.7109375" customWidth="1"/>
    <col min="3591" max="3591" width="30.42578125" customWidth="1"/>
    <col min="3592" max="3592" width="11.85546875" customWidth="1"/>
    <col min="3593" max="3593" width="14.7109375" customWidth="1"/>
    <col min="3594" max="3594" width="12.85546875" customWidth="1"/>
    <col min="3595" max="3595" width="10" customWidth="1"/>
    <col min="3596" max="3596" width="25" customWidth="1"/>
    <col min="3597" max="3597" width="3.5703125" customWidth="1"/>
    <col min="3841" max="3841" width="2.140625" customWidth="1"/>
    <col min="3842" max="3842" width="0.5703125" customWidth="1"/>
    <col min="3843" max="3843" width="10.7109375" customWidth="1"/>
    <col min="3844" max="3844" width="2.140625" customWidth="1"/>
    <col min="3845" max="3845" width="7.85546875" customWidth="1"/>
    <col min="3846" max="3846" width="27.7109375" customWidth="1"/>
    <col min="3847" max="3847" width="30.42578125" customWidth="1"/>
    <col min="3848" max="3848" width="11.85546875" customWidth="1"/>
    <col min="3849" max="3849" width="14.7109375" customWidth="1"/>
    <col min="3850" max="3850" width="12.85546875" customWidth="1"/>
    <col min="3851" max="3851" width="10" customWidth="1"/>
    <col min="3852" max="3852" width="25" customWidth="1"/>
    <col min="3853" max="3853" width="3.5703125" customWidth="1"/>
    <col min="4097" max="4097" width="2.140625" customWidth="1"/>
    <col min="4098" max="4098" width="0.5703125" customWidth="1"/>
    <col min="4099" max="4099" width="10.7109375" customWidth="1"/>
    <col min="4100" max="4100" width="2.140625" customWidth="1"/>
    <col min="4101" max="4101" width="7.85546875" customWidth="1"/>
    <col min="4102" max="4102" width="27.7109375" customWidth="1"/>
    <col min="4103" max="4103" width="30.42578125" customWidth="1"/>
    <col min="4104" max="4104" width="11.85546875" customWidth="1"/>
    <col min="4105" max="4105" width="14.7109375" customWidth="1"/>
    <col min="4106" max="4106" width="12.85546875" customWidth="1"/>
    <col min="4107" max="4107" width="10" customWidth="1"/>
    <col min="4108" max="4108" width="25" customWidth="1"/>
    <col min="4109" max="4109" width="3.5703125" customWidth="1"/>
    <col min="4353" max="4353" width="2.140625" customWidth="1"/>
    <col min="4354" max="4354" width="0.5703125" customWidth="1"/>
    <col min="4355" max="4355" width="10.7109375" customWidth="1"/>
    <col min="4356" max="4356" width="2.140625" customWidth="1"/>
    <col min="4357" max="4357" width="7.85546875" customWidth="1"/>
    <col min="4358" max="4358" width="27.7109375" customWidth="1"/>
    <col min="4359" max="4359" width="30.42578125" customWidth="1"/>
    <col min="4360" max="4360" width="11.85546875" customWidth="1"/>
    <col min="4361" max="4361" width="14.7109375" customWidth="1"/>
    <col min="4362" max="4362" width="12.85546875" customWidth="1"/>
    <col min="4363" max="4363" width="10" customWidth="1"/>
    <col min="4364" max="4364" width="25" customWidth="1"/>
    <col min="4365" max="4365" width="3.5703125" customWidth="1"/>
    <col min="4609" max="4609" width="2.140625" customWidth="1"/>
    <col min="4610" max="4610" width="0.5703125" customWidth="1"/>
    <col min="4611" max="4611" width="10.7109375" customWidth="1"/>
    <col min="4612" max="4612" width="2.140625" customWidth="1"/>
    <col min="4613" max="4613" width="7.85546875" customWidth="1"/>
    <col min="4614" max="4614" width="27.7109375" customWidth="1"/>
    <col min="4615" max="4615" width="30.42578125" customWidth="1"/>
    <col min="4616" max="4616" width="11.85546875" customWidth="1"/>
    <col min="4617" max="4617" width="14.7109375" customWidth="1"/>
    <col min="4618" max="4618" width="12.85546875" customWidth="1"/>
    <col min="4619" max="4619" width="10" customWidth="1"/>
    <col min="4620" max="4620" width="25" customWidth="1"/>
    <col min="4621" max="4621" width="3.5703125" customWidth="1"/>
    <col min="4865" max="4865" width="2.140625" customWidth="1"/>
    <col min="4866" max="4866" width="0.5703125" customWidth="1"/>
    <col min="4867" max="4867" width="10.7109375" customWidth="1"/>
    <col min="4868" max="4868" width="2.140625" customWidth="1"/>
    <col min="4869" max="4869" width="7.85546875" customWidth="1"/>
    <col min="4870" max="4870" width="27.7109375" customWidth="1"/>
    <col min="4871" max="4871" width="30.42578125" customWidth="1"/>
    <col min="4872" max="4872" width="11.85546875" customWidth="1"/>
    <col min="4873" max="4873" width="14.7109375" customWidth="1"/>
    <col min="4874" max="4874" width="12.85546875" customWidth="1"/>
    <col min="4875" max="4875" width="10" customWidth="1"/>
    <col min="4876" max="4876" width="25" customWidth="1"/>
    <col min="4877" max="4877" width="3.5703125" customWidth="1"/>
    <col min="5121" max="5121" width="2.140625" customWidth="1"/>
    <col min="5122" max="5122" width="0.5703125" customWidth="1"/>
    <col min="5123" max="5123" width="10.7109375" customWidth="1"/>
    <col min="5124" max="5124" width="2.140625" customWidth="1"/>
    <col min="5125" max="5125" width="7.85546875" customWidth="1"/>
    <col min="5126" max="5126" width="27.7109375" customWidth="1"/>
    <col min="5127" max="5127" width="30.42578125" customWidth="1"/>
    <col min="5128" max="5128" width="11.85546875" customWidth="1"/>
    <col min="5129" max="5129" width="14.7109375" customWidth="1"/>
    <col min="5130" max="5130" width="12.85546875" customWidth="1"/>
    <col min="5131" max="5131" width="10" customWidth="1"/>
    <col min="5132" max="5132" width="25" customWidth="1"/>
    <col min="5133" max="5133" width="3.5703125" customWidth="1"/>
    <col min="5377" max="5377" width="2.140625" customWidth="1"/>
    <col min="5378" max="5378" width="0.5703125" customWidth="1"/>
    <col min="5379" max="5379" width="10.7109375" customWidth="1"/>
    <col min="5380" max="5380" width="2.140625" customWidth="1"/>
    <col min="5381" max="5381" width="7.85546875" customWidth="1"/>
    <col min="5382" max="5382" width="27.7109375" customWidth="1"/>
    <col min="5383" max="5383" width="30.42578125" customWidth="1"/>
    <col min="5384" max="5384" width="11.85546875" customWidth="1"/>
    <col min="5385" max="5385" width="14.7109375" customWidth="1"/>
    <col min="5386" max="5386" width="12.85546875" customWidth="1"/>
    <col min="5387" max="5387" width="10" customWidth="1"/>
    <col min="5388" max="5388" width="25" customWidth="1"/>
    <col min="5389" max="5389" width="3.5703125" customWidth="1"/>
    <col min="5633" max="5633" width="2.140625" customWidth="1"/>
    <col min="5634" max="5634" width="0.5703125" customWidth="1"/>
    <col min="5635" max="5635" width="10.7109375" customWidth="1"/>
    <col min="5636" max="5636" width="2.140625" customWidth="1"/>
    <col min="5637" max="5637" width="7.85546875" customWidth="1"/>
    <col min="5638" max="5638" width="27.7109375" customWidth="1"/>
    <col min="5639" max="5639" width="30.42578125" customWidth="1"/>
    <col min="5640" max="5640" width="11.85546875" customWidth="1"/>
    <col min="5641" max="5641" width="14.7109375" customWidth="1"/>
    <col min="5642" max="5642" width="12.85546875" customWidth="1"/>
    <col min="5643" max="5643" width="10" customWidth="1"/>
    <col min="5644" max="5644" width="25" customWidth="1"/>
    <col min="5645" max="5645" width="3.5703125" customWidth="1"/>
    <col min="5889" max="5889" width="2.140625" customWidth="1"/>
    <col min="5890" max="5890" width="0.5703125" customWidth="1"/>
    <col min="5891" max="5891" width="10.7109375" customWidth="1"/>
    <col min="5892" max="5892" width="2.140625" customWidth="1"/>
    <col min="5893" max="5893" width="7.85546875" customWidth="1"/>
    <col min="5894" max="5894" width="27.7109375" customWidth="1"/>
    <col min="5895" max="5895" width="30.42578125" customWidth="1"/>
    <col min="5896" max="5896" width="11.85546875" customWidth="1"/>
    <col min="5897" max="5897" width="14.7109375" customWidth="1"/>
    <col min="5898" max="5898" width="12.85546875" customWidth="1"/>
    <col min="5899" max="5899" width="10" customWidth="1"/>
    <col min="5900" max="5900" width="25" customWidth="1"/>
    <col min="5901" max="5901" width="3.5703125" customWidth="1"/>
    <col min="6145" max="6145" width="2.140625" customWidth="1"/>
    <col min="6146" max="6146" width="0.5703125" customWidth="1"/>
    <col min="6147" max="6147" width="10.7109375" customWidth="1"/>
    <col min="6148" max="6148" width="2.140625" customWidth="1"/>
    <col min="6149" max="6149" width="7.85546875" customWidth="1"/>
    <col min="6150" max="6150" width="27.7109375" customWidth="1"/>
    <col min="6151" max="6151" width="30.42578125" customWidth="1"/>
    <col min="6152" max="6152" width="11.85546875" customWidth="1"/>
    <col min="6153" max="6153" width="14.7109375" customWidth="1"/>
    <col min="6154" max="6154" width="12.85546875" customWidth="1"/>
    <col min="6155" max="6155" width="10" customWidth="1"/>
    <col min="6156" max="6156" width="25" customWidth="1"/>
    <col min="6157" max="6157" width="3.5703125" customWidth="1"/>
    <col min="6401" max="6401" width="2.140625" customWidth="1"/>
    <col min="6402" max="6402" width="0.5703125" customWidth="1"/>
    <col min="6403" max="6403" width="10.7109375" customWidth="1"/>
    <col min="6404" max="6404" width="2.140625" customWidth="1"/>
    <col min="6405" max="6405" width="7.85546875" customWidth="1"/>
    <col min="6406" max="6406" width="27.7109375" customWidth="1"/>
    <col min="6407" max="6407" width="30.42578125" customWidth="1"/>
    <col min="6408" max="6408" width="11.85546875" customWidth="1"/>
    <col min="6409" max="6409" width="14.7109375" customWidth="1"/>
    <col min="6410" max="6410" width="12.85546875" customWidth="1"/>
    <col min="6411" max="6411" width="10" customWidth="1"/>
    <col min="6412" max="6412" width="25" customWidth="1"/>
    <col min="6413" max="6413" width="3.5703125" customWidth="1"/>
    <col min="6657" max="6657" width="2.140625" customWidth="1"/>
    <col min="6658" max="6658" width="0.5703125" customWidth="1"/>
    <col min="6659" max="6659" width="10.7109375" customWidth="1"/>
    <col min="6660" max="6660" width="2.140625" customWidth="1"/>
    <col min="6661" max="6661" width="7.85546875" customWidth="1"/>
    <col min="6662" max="6662" width="27.7109375" customWidth="1"/>
    <col min="6663" max="6663" width="30.42578125" customWidth="1"/>
    <col min="6664" max="6664" width="11.85546875" customWidth="1"/>
    <col min="6665" max="6665" width="14.7109375" customWidth="1"/>
    <col min="6666" max="6666" width="12.85546875" customWidth="1"/>
    <col min="6667" max="6667" width="10" customWidth="1"/>
    <col min="6668" max="6668" width="25" customWidth="1"/>
    <col min="6669" max="6669" width="3.5703125" customWidth="1"/>
    <col min="6913" max="6913" width="2.140625" customWidth="1"/>
    <col min="6914" max="6914" width="0.5703125" customWidth="1"/>
    <col min="6915" max="6915" width="10.7109375" customWidth="1"/>
    <col min="6916" max="6916" width="2.140625" customWidth="1"/>
    <col min="6917" max="6917" width="7.85546875" customWidth="1"/>
    <col min="6918" max="6918" width="27.7109375" customWidth="1"/>
    <col min="6919" max="6919" width="30.42578125" customWidth="1"/>
    <col min="6920" max="6920" width="11.85546875" customWidth="1"/>
    <col min="6921" max="6921" width="14.7109375" customWidth="1"/>
    <col min="6922" max="6922" width="12.85546875" customWidth="1"/>
    <col min="6923" max="6923" width="10" customWidth="1"/>
    <col min="6924" max="6924" width="25" customWidth="1"/>
    <col min="6925" max="6925" width="3.5703125" customWidth="1"/>
    <col min="7169" max="7169" width="2.140625" customWidth="1"/>
    <col min="7170" max="7170" width="0.5703125" customWidth="1"/>
    <col min="7171" max="7171" width="10.7109375" customWidth="1"/>
    <col min="7172" max="7172" width="2.140625" customWidth="1"/>
    <col min="7173" max="7173" width="7.85546875" customWidth="1"/>
    <col min="7174" max="7174" width="27.7109375" customWidth="1"/>
    <col min="7175" max="7175" width="30.42578125" customWidth="1"/>
    <col min="7176" max="7176" width="11.85546875" customWidth="1"/>
    <col min="7177" max="7177" width="14.7109375" customWidth="1"/>
    <col min="7178" max="7178" width="12.85546875" customWidth="1"/>
    <col min="7179" max="7179" width="10" customWidth="1"/>
    <col min="7180" max="7180" width="25" customWidth="1"/>
    <col min="7181" max="7181" width="3.5703125" customWidth="1"/>
    <col min="7425" max="7425" width="2.140625" customWidth="1"/>
    <col min="7426" max="7426" width="0.5703125" customWidth="1"/>
    <col min="7427" max="7427" width="10.7109375" customWidth="1"/>
    <col min="7428" max="7428" width="2.140625" customWidth="1"/>
    <col min="7429" max="7429" width="7.85546875" customWidth="1"/>
    <col min="7430" max="7430" width="27.7109375" customWidth="1"/>
    <col min="7431" max="7431" width="30.42578125" customWidth="1"/>
    <col min="7432" max="7432" width="11.85546875" customWidth="1"/>
    <col min="7433" max="7433" width="14.7109375" customWidth="1"/>
    <col min="7434" max="7434" width="12.85546875" customWidth="1"/>
    <col min="7435" max="7435" width="10" customWidth="1"/>
    <col min="7436" max="7436" width="25" customWidth="1"/>
    <col min="7437" max="7437" width="3.5703125" customWidth="1"/>
    <col min="7681" max="7681" width="2.140625" customWidth="1"/>
    <col min="7682" max="7682" width="0.5703125" customWidth="1"/>
    <col min="7683" max="7683" width="10.7109375" customWidth="1"/>
    <col min="7684" max="7684" width="2.140625" customWidth="1"/>
    <col min="7685" max="7685" width="7.85546875" customWidth="1"/>
    <col min="7686" max="7686" width="27.7109375" customWidth="1"/>
    <col min="7687" max="7687" width="30.42578125" customWidth="1"/>
    <col min="7688" max="7688" width="11.85546875" customWidth="1"/>
    <col min="7689" max="7689" width="14.7109375" customWidth="1"/>
    <col min="7690" max="7690" width="12.85546875" customWidth="1"/>
    <col min="7691" max="7691" width="10" customWidth="1"/>
    <col min="7692" max="7692" width="25" customWidth="1"/>
    <col min="7693" max="7693" width="3.5703125" customWidth="1"/>
    <col min="7937" max="7937" width="2.140625" customWidth="1"/>
    <col min="7938" max="7938" width="0.5703125" customWidth="1"/>
    <col min="7939" max="7939" width="10.7109375" customWidth="1"/>
    <col min="7940" max="7940" width="2.140625" customWidth="1"/>
    <col min="7941" max="7941" width="7.85546875" customWidth="1"/>
    <col min="7942" max="7942" width="27.7109375" customWidth="1"/>
    <col min="7943" max="7943" width="30.42578125" customWidth="1"/>
    <col min="7944" max="7944" width="11.85546875" customWidth="1"/>
    <col min="7945" max="7945" width="14.7109375" customWidth="1"/>
    <col min="7946" max="7946" width="12.85546875" customWidth="1"/>
    <col min="7947" max="7947" width="10" customWidth="1"/>
    <col min="7948" max="7948" width="25" customWidth="1"/>
    <col min="7949" max="7949" width="3.5703125" customWidth="1"/>
    <col min="8193" max="8193" width="2.140625" customWidth="1"/>
    <col min="8194" max="8194" width="0.5703125" customWidth="1"/>
    <col min="8195" max="8195" width="10.7109375" customWidth="1"/>
    <col min="8196" max="8196" width="2.140625" customWidth="1"/>
    <col min="8197" max="8197" width="7.85546875" customWidth="1"/>
    <col min="8198" max="8198" width="27.7109375" customWidth="1"/>
    <col min="8199" max="8199" width="30.42578125" customWidth="1"/>
    <col min="8200" max="8200" width="11.85546875" customWidth="1"/>
    <col min="8201" max="8201" width="14.7109375" customWidth="1"/>
    <col min="8202" max="8202" width="12.85546875" customWidth="1"/>
    <col min="8203" max="8203" width="10" customWidth="1"/>
    <col min="8204" max="8204" width="25" customWidth="1"/>
    <col min="8205" max="8205" width="3.5703125" customWidth="1"/>
    <col min="8449" max="8449" width="2.140625" customWidth="1"/>
    <col min="8450" max="8450" width="0.5703125" customWidth="1"/>
    <col min="8451" max="8451" width="10.7109375" customWidth="1"/>
    <col min="8452" max="8452" width="2.140625" customWidth="1"/>
    <col min="8453" max="8453" width="7.85546875" customWidth="1"/>
    <col min="8454" max="8454" width="27.7109375" customWidth="1"/>
    <col min="8455" max="8455" width="30.42578125" customWidth="1"/>
    <col min="8456" max="8456" width="11.85546875" customWidth="1"/>
    <col min="8457" max="8457" width="14.7109375" customWidth="1"/>
    <col min="8458" max="8458" width="12.85546875" customWidth="1"/>
    <col min="8459" max="8459" width="10" customWidth="1"/>
    <col min="8460" max="8460" width="25" customWidth="1"/>
    <col min="8461" max="8461" width="3.5703125" customWidth="1"/>
    <col min="8705" max="8705" width="2.140625" customWidth="1"/>
    <col min="8706" max="8706" width="0.5703125" customWidth="1"/>
    <col min="8707" max="8707" width="10.7109375" customWidth="1"/>
    <col min="8708" max="8708" width="2.140625" customWidth="1"/>
    <col min="8709" max="8709" width="7.85546875" customWidth="1"/>
    <col min="8710" max="8710" width="27.7109375" customWidth="1"/>
    <col min="8711" max="8711" width="30.42578125" customWidth="1"/>
    <col min="8712" max="8712" width="11.85546875" customWidth="1"/>
    <col min="8713" max="8713" width="14.7109375" customWidth="1"/>
    <col min="8714" max="8714" width="12.85546875" customWidth="1"/>
    <col min="8715" max="8715" width="10" customWidth="1"/>
    <col min="8716" max="8716" width="25" customWidth="1"/>
    <col min="8717" max="8717" width="3.5703125" customWidth="1"/>
    <col min="8961" max="8961" width="2.140625" customWidth="1"/>
    <col min="8962" max="8962" width="0.5703125" customWidth="1"/>
    <col min="8963" max="8963" width="10.7109375" customWidth="1"/>
    <col min="8964" max="8964" width="2.140625" customWidth="1"/>
    <col min="8965" max="8965" width="7.85546875" customWidth="1"/>
    <col min="8966" max="8966" width="27.7109375" customWidth="1"/>
    <col min="8967" max="8967" width="30.42578125" customWidth="1"/>
    <col min="8968" max="8968" width="11.85546875" customWidth="1"/>
    <col min="8969" max="8969" width="14.7109375" customWidth="1"/>
    <col min="8970" max="8970" width="12.85546875" customWidth="1"/>
    <col min="8971" max="8971" width="10" customWidth="1"/>
    <col min="8972" max="8972" width="25" customWidth="1"/>
    <col min="8973" max="8973" width="3.5703125" customWidth="1"/>
    <col min="9217" max="9217" width="2.140625" customWidth="1"/>
    <col min="9218" max="9218" width="0.5703125" customWidth="1"/>
    <col min="9219" max="9219" width="10.7109375" customWidth="1"/>
    <col min="9220" max="9220" width="2.140625" customWidth="1"/>
    <col min="9221" max="9221" width="7.85546875" customWidth="1"/>
    <col min="9222" max="9222" width="27.7109375" customWidth="1"/>
    <col min="9223" max="9223" width="30.42578125" customWidth="1"/>
    <col min="9224" max="9224" width="11.85546875" customWidth="1"/>
    <col min="9225" max="9225" width="14.7109375" customWidth="1"/>
    <col min="9226" max="9226" width="12.85546875" customWidth="1"/>
    <col min="9227" max="9227" width="10" customWidth="1"/>
    <col min="9228" max="9228" width="25" customWidth="1"/>
    <col min="9229" max="9229" width="3.5703125" customWidth="1"/>
    <col min="9473" max="9473" width="2.140625" customWidth="1"/>
    <col min="9474" max="9474" width="0.5703125" customWidth="1"/>
    <col min="9475" max="9475" width="10.7109375" customWidth="1"/>
    <col min="9476" max="9476" width="2.140625" customWidth="1"/>
    <col min="9477" max="9477" width="7.85546875" customWidth="1"/>
    <col min="9478" max="9478" width="27.7109375" customWidth="1"/>
    <col min="9479" max="9479" width="30.42578125" customWidth="1"/>
    <col min="9480" max="9480" width="11.85546875" customWidth="1"/>
    <col min="9481" max="9481" width="14.7109375" customWidth="1"/>
    <col min="9482" max="9482" width="12.85546875" customWidth="1"/>
    <col min="9483" max="9483" width="10" customWidth="1"/>
    <col min="9484" max="9484" width="25" customWidth="1"/>
    <col min="9485" max="9485" width="3.5703125" customWidth="1"/>
    <col min="9729" max="9729" width="2.140625" customWidth="1"/>
    <col min="9730" max="9730" width="0.5703125" customWidth="1"/>
    <col min="9731" max="9731" width="10.7109375" customWidth="1"/>
    <col min="9732" max="9732" width="2.140625" customWidth="1"/>
    <col min="9733" max="9733" width="7.85546875" customWidth="1"/>
    <col min="9734" max="9734" width="27.7109375" customWidth="1"/>
    <col min="9735" max="9735" width="30.42578125" customWidth="1"/>
    <col min="9736" max="9736" width="11.85546875" customWidth="1"/>
    <col min="9737" max="9737" width="14.7109375" customWidth="1"/>
    <col min="9738" max="9738" width="12.85546875" customWidth="1"/>
    <col min="9739" max="9739" width="10" customWidth="1"/>
    <col min="9740" max="9740" width="25" customWidth="1"/>
    <col min="9741" max="9741" width="3.5703125" customWidth="1"/>
    <col min="9985" max="9985" width="2.140625" customWidth="1"/>
    <col min="9986" max="9986" width="0.5703125" customWidth="1"/>
    <col min="9987" max="9987" width="10.7109375" customWidth="1"/>
    <col min="9988" max="9988" width="2.140625" customWidth="1"/>
    <col min="9989" max="9989" width="7.85546875" customWidth="1"/>
    <col min="9990" max="9990" width="27.7109375" customWidth="1"/>
    <col min="9991" max="9991" width="30.42578125" customWidth="1"/>
    <col min="9992" max="9992" width="11.85546875" customWidth="1"/>
    <col min="9993" max="9993" width="14.7109375" customWidth="1"/>
    <col min="9994" max="9994" width="12.85546875" customWidth="1"/>
    <col min="9995" max="9995" width="10" customWidth="1"/>
    <col min="9996" max="9996" width="25" customWidth="1"/>
    <col min="9997" max="9997" width="3.5703125" customWidth="1"/>
    <col min="10241" max="10241" width="2.140625" customWidth="1"/>
    <col min="10242" max="10242" width="0.5703125" customWidth="1"/>
    <col min="10243" max="10243" width="10.7109375" customWidth="1"/>
    <col min="10244" max="10244" width="2.140625" customWidth="1"/>
    <col min="10245" max="10245" width="7.85546875" customWidth="1"/>
    <col min="10246" max="10246" width="27.7109375" customWidth="1"/>
    <col min="10247" max="10247" width="30.42578125" customWidth="1"/>
    <col min="10248" max="10248" width="11.85546875" customWidth="1"/>
    <col min="10249" max="10249" width="14.7109375" customWidth="1"/>
    <col min="10250" max="10250" width="12.85546875" customWidth="1"/>
    <col min="10251" max="10251" width="10" customWidth="1"/>
    <col min="10252" max="10252" width="25" customWidth="1"/>
    <col min="10253" max="10253" width="3.5703125" customWidth="1"/>
    <col min="10497" max="10497" width="2.140625" customWidth="1"/>
    <col min="10498" max="10498" width="0.5703125" customWidth="1"/>
    <col min="10499" max="10499" width="10.7109375" customWidth="1"/>
    <col min="10500" max="10500" width="2.140625" customWidth="1"/>
    <col min="10501" max="10501" width="7.85546875" customWidth="1"/>
    <col min="10502" max="10502" width="27.7109375" customWidth="1"/>
    <col min="10503" max="10503" width="30.42578125" customWidth="1"/>
    <col min="10504" max="10504" width="11.85546875" customWidth="1"/>
    <col min="10505" max="10505" width="14.7109375" customWidth="1"/>
    <col min="10506" max="10506" width="12.85546875" customWidth="1"/>
    <col min="10507" max="10507" width="10" customWidth="1"/>
    <col min="10508" max="10508" width="25" customWidth="1"/>
    <col min="10509" max="10509" width="3.5703125" customWidth="1"/>
    <col min="10753" max="10753" width="2.140625" customWidth="1"/>
    <col min="10754" max="10754" width="0.5703125" customWidth="1"/>
    <col min="10755" max="10755" width="10.7109375" customWidth="1"/>
    <col min="10756" max="10756" width="2.140625" customWidth="1"/>
    <col min="10757" max="10757" width="7.85546875" customWidth="1"/>
    <col min="10758" max="10758" width="27.7109375" customWidth="1"/>
    <col min="10759" max="10759" width="30.42578125" customWidth="1"/>
    <col min="10760" max="10760" width="11.85546875" customWidth="1"/>
    <col min="10761" max="10761" width="14.7109375" customWidth="1"/>
    <col min="10762" max="10762" width="12.85546875" customWidth="1"/>
    <col min="10763" max="10763" width="10" customWidth="1"/>
    <col min="10764" max="10764" width="25" customWidth="1"/>
    <col min="10765" max="10765" width="3.5703125" customWidth="1"/>
    <col min="11009" max="11009" width="2.140625" customWidth="1"/>
    <col min="11010" max="11010" width="0.5703125" customWidth="1"/>
    <col min="11011" max="11011" width="10.7109375" customWidth="1"/>
    <col min="11012" max="11012" width="2.140625" customWidth="1"/>
    <col min="11013" max="11013" width="7.85546875" customWidth="1"/>
    <col min="11014" max="11014" width="27.7109375" customWidth="1"/>
    <col min="11015" max="11015" width="30.42578125" customWidth="1"/>
    <col min="11016" max="11016" width="11.85546875" customWidth="1"/>
    <col min="11017" max="11017" width="14.7109375" customWidth="1"/>
    <col min="11018" max="11018" width="12.85546875" customWidth="1"/>
    <col min="11019" max="11019" width="10" customWidth="1"/>
    <col min="11020" max="11020" width="25" customWidth="1"/>
    <col min="11021" max="11021" width="3.5703125" customWidth="1"/>
    <col min="11265" max="11265" width="2.140625" customWidth="1"/>
    <col min="11266" max="11266" width="0.5703125" customWidth="1"/>
    <col min="11267" max="11267" width="10.7109375" customWidth="1"/>
    <col min="11268" max="11268" width="2.140625" customWidth="1"/>
    <col min="11269" max="11269" width="7.85546875" customWidth="1"/>
    <col min="11270" max="11270" width="27.7109375" customWidth="1"/>
    <col min="11271" max="11271" width="30.42578125" customWidth="1"/>
    <col min="11272" max="11272" width="11.85546875" customWidth="1"/>
    <col min="11273" max="11273" width="14.7109375" customWidth="1"/>
    <col min="11274" max="11274" width="12.85546875" customWidth="1"/>
    <col min="11275" max="11275" width="10" customWidth="1"/>
    <col min="11276" max="11276" width="25" customWidth="1"/>
    <col min="11277" max="11277" width="3.5703125" customWidth="1"/>
    <col min="11521" max="11521" width="2.140625" customWidth="1"/>
    <col min="11522" max="11522" width="0.5703125" customWidth="1"/>
    <col min="11523" max="11523" width="10.7109375" customWidth="1"/>
    <col min="11524" max="11524" width="2.140625" customWidth="1"/>
    <col min="11525" max="11525" width="7.85546875" customWidth="1"/>
    <col min="11526" max="11526" width="27.7109375" customWidth="1"/>
    <col min="11527" max="11527" width="30.42578125" customWidth="1"/>
    <col min="11528" max="11528" width="11.85546875" customWidth="1"/>
    <col min="11529" max="11529" width="14.7109375" customWidth="1"/>
    <col min="11530" max="11530" width="12.85546875" customWidth="1"/>
    <col min="11531" max="11531" width="10" customWidth="1"/>
    <col min="11532" max="11532" width="25" customWidth="1"/>
    <col min="11533" max="11533" width="3.5703125" customWidth="1"/>
    <col min="11777" max="11777" width="2.140625" customWidth="1"/>
    <col min="11778" max="11778" width="0.5703125" customWidth="1"/>
    <col min="11779" max="11779" width="10.7109375" customWidth="1"/>
    <col min="11780" max="11780" width="2.140625" customWidth="1"/>
    <col min="11781" max="11781" width="7.85546875" customWidth="1"/>
    <col min="11782" max="11782" width="27.7109375" customWidth="1"/>
    <col min="11783" max="11783" width="30.42578125" customWidth="1"/>
    <col min="11784" max="11784" width="11.85546875" customWidth="1"/>
    <col min="11785" max="11785" width="14.7109375" customWidth="1"/>
    <col min="11786" max="11786" width="12.85546875" customWidth="1"/>
    <col min="11787" max="11787" width="10" customWidth="1"/>
    <col min="11788" max="11788" width="25" customWidth="1"/>
    <col min="11789" max="11789" width="3.5703125" customWidth="1"/>
    <col min="12033" max="12033" width="2.140625" customWidth="1"/>
    <col min="12034" max="12034" width="0.5703125" customWidth="1"/>
    <col min="12035" max="12035" width="10.7109375" customWidth="1"/>
    <col min="12036" max="12036" width="2.140625" customWidth="1"/>
    <col min="12037" max="12037" width="7.85546875" customWidth="1"/>
    <col min="12038" max="12038" width="27.7109375" customWidth="1"/>
    <col min="12039" max="12039" width="30.42578125" customWidth="1"/>
    <col min="12040" max="12040" width="11.85546875" customWidth="1"/>
    <col min="12041" max="12041" width="14.7109375" customWidth="1"/>
    <col min="12042" max="12042" width="12.85546875" customWidth="1"/>
    <col min="12043" max="12043" width="10" customWidth="1"/>
    <col min="12044" max="12044" width="25" customWidth="1"/>
    <col min="12045" max="12045" width="3.5703125" customWidth="1"/>
    <col min="12289" max="12289" width="2.140625" customWidth="1"/>
    <col min="12290" max="12290" width="0.5703125" customWidth="1"/>
    <col min="12291" max="12291" width="10.7109375" customWidth="1"/>
    <col min="12292" max="12292" width="2.140625" customWidth="1"/>
    <col min="12293" max="12293" width="7.85546875" customWidth="1"/>
    <col min="12294" max="12294" width="27.7109375" customWidth="1"/>
    <col min="12295" max="12295" width="30.42578125" customWidth="1"/>
    <col min="12296" max="12296" width="11.85546875" customWidth="1"/>
    <col min="12297" max="12297" width="14.7109375" customWidth="1"/>
    <col min="12298" max="12298" width="12.85546875" customWidth="1"/>
    <col min="12299" max="12299" width="10" customWidth="1"/>
    <col min="12300" max="12300" width="25" customWidth="1"/>
    <col min="12301" max="12301" width="3.5703125" customWidth="1"/>
    <col min="12545" max="12545" width="2.140625" customWidth="1"/>
    <col min="12546" max="12546" width="0.5703125" customWidth="1"/>
    <col min="12547" max="12547" width="10.7109375" customWidth="1"/>
    <col min="12548" max="12548" width="2.140625" customWidth="1"/>
    <col min="12549" max="12549" width="7.85546875" customWidth="1"/>
    <col min="12550" max="12550" width="27.7109375" customWidth="1"/>
    <col min="12551" max="12551" width="30.42578125" customWidth="1"/>
    <col min="12552" max="12552" width="11.85546875" customWidth="1"/>
    <col min="12553" max="12553" width="14.7109375" customWidth="1"/>
    <col min="12554" max="12554" width="12.85546875" customWidth="1"/>
    <col min="12555" max="12555" width="10" customWidth="1"/>
    <col min="12556" max="12556" width="25" customWidth="1"/>
    <col min="12557" max="12557" width="3.5703125" customWidth="1"/>
    <col min="12801" max="12801" width="2.140625" customWidth="1"/>
    <col min="12802" max="12802" width="0.5703125" customWidth="1"/>
    <col min="12803" max="12803" width="10.7109375" customWidth="1"/>
    <col min="12804" max="12804" width="2.140625" customWidth="1"/>
    <col min="12805" max="12805" width="7.85546875" customWidth="1"/>
    <col min="12806" max="12806" width="27.7109375" customWidth="1"/>
    <col min="12807" max="12807" width="30.42578125" customWidth="1"/>
    <col min="12808" max="12808" width="11.85546875" customWidth="1"/>
    <col min="12809" max="12809" width="14.7109375" customWidth="1"/>
    <col min="12810" max="12810" width="12.85546875" customWidth="1"/>
    <col min="12811" max="12811" width="10" customWidth="1"/>
    <col min="12812" max="12812" width="25" customWidth="1"/>
    <col min="12813" max="12813" width="3.5703125" customWidth="1"/>
    <col min="13057" max="13057" width="2.140625" customWidth="1"/>
    <col min="13058" max="13058" width="0.5703125" customWidth="1"/>
    <col min="13059" max="13059" width="10.7109375" customWidth="1"/>
    <col min="13060" max="13060" width="2.140625" customWidth="1"/>
    <col min="13061" max="13061" width="7.85546875" customWidth="1"/>
    <col min="13062" max="13062" width="27.7109375" customWidth="1"/>
    <col min="13063" max="13063" width="30.42578125" customWidth="1"/>
    <col min="13064" max="13064" width="11.85546875" customWidth="1"/>
    <col min="13065" max="13065" width="14.7109375" customWidth="1"/>
    <col min="13066" max="13066" width="12.85546875" customWidth="1"/>
    <col min="13067" max="13067" width="10" customWidth="1"/>
    <col min="13068" max="13068" width="25" customWidth="1"/>
    <col min="13069" max="13069" width="3.5703125" customWidth="1"/>
    <col min="13313" max="13313" width="2.140625" customWidth="1"/>
    <col min="13314" max="13314" width="0.5703125" customWidth="1"/>
    <col min="13315" max="13315" width="10.7109375" customWidth="1"/>
    <col min="13316" max="13316" width="2.140625" customWidth="1"/>
    <col min="13317" max="13317" width="7.85546875" customWidth="1"/>
    <col min="13318" max="13318" width="27.7109375" customWidth="1"/>
    <col min="13319" max="13319" width="30.42578125" customWidth="1"/>
    <col min="13320" max="13320" width="11.85546875" customWidth="1"/>
    <col min="13321" max="13321" width="14.7109375" customWidth="1"/>
    <col min="13322" max="13322" width="12.85546875" customWidth="1"/>
    <col min="13323" max="13323" width="10" customWidth="1"/>
    <col min="13324" max="13324" width="25" customWidth="1"/>
    <col min="13325" max="13325" width="3.5703125" customWidth="1"/>
    <col min="13569" max="13569" width="2.140625" customWidth="1"/>
    <col min="13570" max="13570" width="0.5703125" customWidth="1"/>
    <col min="13571" max="13571" width="10.7109375" customWidth="1"/>
    <col min="13572" max="13572" width="2.140625" customWidth="1"/>
    <col min="13573" max="13573" width="7.85546875" customWidth="1"/>
    <col min="13574" max="13574" width="27.7109375" customWidth="1"/>
    <col min="13575" max="13575" width="30.42578125" customWidth="1"/>
    <col min="13576" max="13576" width="11.85546875" customWidth="1"/>
    <col min="13577" max="13577" width="14.7109375" customWidth="1"/>
    <col min="13578" max="13578" width="12.85546875" customWidth="1"/>
    <col min="13579" max="13579" width="10" customWidth="1"/>
    <col min="13580" max="13580" width="25" customWidth="1"/>
    <col min="13581" max="13581" width="3.5703125" customWidth="1"/>
    <col min="13825" max="13825" width="2.140625" customWidth="1"/>
    <col min="13826" max="13826" width="0.5703125" customWidth="1"/>
    <col min="13827" max="13827" width="10.7109375" customWidth="1"/>
    <col min="13828" max="13828" width="2.140625" customWidth="1"/>
    <col min="13829" max="13829" width="7.85546875" customWidth="1"/>
    <col min="13830" max="13830" width="27.7109375" customWidth="1"/>
    <col min="13831" max="13831" width="30.42578125" customWidth="1"/>
    <col min="13832" max="13832" width="11.85546875" customWidth="1"/>
    <col min="13833" max="13833" width="14.7109375" customWidth="1"/>
    <col min="13834" max="13834" width="12.85546875" customWidth="1"/>
    <col min="13835" max="13835" width="10" customWidth="1"/>
    <col min="13836" max="13836" width="25" customWidth="1"/>
    <col min="13837" max="13837" width="3.5703125" customWidth="1"/>
    <col min="14081" max="14081" width="2.140625" customWidth="1"/>
    <col min="14082" max="14082" width="0.5703125" customWidth="1"/>
    <col min="14083" max="14083" width="10.7109375" customWidth="1"/>
    <col min="14084" max="14084" width="2.140625" customWidth="1"/>
    <col min="14085" max="14085" width="7.85546875" customWidth="1"/>
    <col min="14086" max="14086" width="27.7109375" customWidth="1"/>
    <col min="14087" max="14087" width="30.42578125" customWidth="1"/>
    <col min="14088" max="14088" width="11.85546875" customWidth="1"/>
    <col min="14089" max="14089" width="14.7109375" customWidth="1"/>
    <col min="14090" max="14090" width="12.85546875" customWidth="1"/>
    <col min="14091" max="14091" width="10" customWidth="1"/>
    <col min="14092" max="14092" width="25" customWidth="1"/>
    <col min="14093" max="14093" width="3.5703125" customWidth="1"/>
    <col min="14337" max="14337" width="2.140625" customWidth="1"/>
    <col min="14338" max="14338" width="0.5703125" customWidth="1"/>
    <col min="14339" max="14339" width="10.7109375" customWidth="1"/>
    <col min="14340" max="14340" width="2.140625" customWidth="1"/>
    <col min="14341" max="14341" width="7.85546875" customWidth="1"/>
    <col min="14342" max="14342" width="27.7109375" customWidth="1"/>
    <col min="14343" max="14343" width="30.42578125" customWidth="1"/>
    <col min="14344" max="14344" width="11.85546875" customWidth="1"/>
    <col min="14345" max="14345" width="14.7109375" customWidth="1"/>
    <col min="14346" max="14346" width="12.85546875" customWidth="1"/>
    <col min="14347" max="14347" width="10" customWidth="1"/>
    <col min="14348" max="14348" width="25" customWidth="1"/>
    <col min="14349" max="14349" width="3.5703125" customWidth="1"/>
    <col min="14593" max="14593" width="2.140625" customWidth="1"/>
    <col min="14594" max="14594" width="0.5703125" customWidth="1"/>
    <col min="14595" max="14595" width="10.7109375" customWidth="1"/>
    <col min="14596" max="14596" width="2.140625" customWidth="1"/>
    <col min="14597" max="14597" width="7.85546875" customWidth="1"/>
    <col min="14598" max="14598" width="27.7109375" customWidth="1"/>
    <col min="14599" max="14599" width="30.42578125" customWidth="1"/>
    <col min="14600" max="14600" width="11.85546875" customWidth="1"/>
    <col min="14601" max="14601" width="14.7109375" customWidth="1"/>
    <col min="14602" max="14602" width="12.85546875" customWidth="1"/>
    <col min="14603" max="14603" width="10" customWidth="1"/>
    <col min="14604" max="14604" width="25" customWidth="1"/>
    <col min="14605" max="14605" width="3.5703125" customWidth="1"/>
    <col min="14849" max="14849" width="2.140625" customWidth="1"/>
    <col min="14850" max="14850" width="0.5703125" customWidth="1"/>
    <col min="14851" max="14851" width="10.7109375" customWidth="1"/>
    <col min="14852" max="14852" width="2.140625" customWidth="1"/>
    <col min="14853" max="14853" width="7.85546875" customWidth="1"/>
    <col min="14854" max="14854" width="27.7109375" customWidth="1"/>
    <col min="14855" max="14855" width="30.42578125" customWidth="1"/>
    <col min="14856" max="14856" width="11.85546875" customWidth="1"/>
    <col min="14857" max="14857" width="14.7109375" customWidth="1"/>
    <col min="14858" max="14858" width="12.85546875" customWidth="1"/>
    <col min="14859" max="14859" width="10" customWidth="1"/>
    <col min="14860" max="14860" width="25" customWidth="1"/>
    <col min="14861" max="14861" width="3.5703125" customWidth="1"/>
    <col min="15105" max="15105" width="2.140625" customWidth="1"/>
    <col min="15106" max="15106" width="0.5703125" customWidth="1"/>
    <col min="15107" max="15107" width="10.7109375" customWidth="1"/>
    <col min="15108" max="15108" width="2.140625" customWidth="1"/>
    <col min="15109" max="15109" width="7.85546875" customWidth="1"/>
    <col min="15110" max="15110" width="27.7109375" customWidth="1"/>
    <col min="15111" max="15111" width="30.42578125" customWidth="1"/>
    <col min="15112" max="15112" width="11.85546875" customWidth="1"/>
    <col min="15113" max="15113" width="14.7109375" customWidth="1"/>
    <col min="15114" max="15114" width="12.85546875" customWidth="1"/>
    <col min="15115" max="15115" width="10" customWidth="1"/>
    <col min="15116" max="15116" width="25" customWidth="1"/>
    <col min="15117" max="15117" width="3.5703125" customWidth="1"/>
    <col min="15361" max="15361" width="2.140625" customWidth="1"/>
    <col min="15362" max="15362" width="0.5703125" customWidth="1"/>
    <col min="15363" max="15363" width="10.7109375" customWidth="1"/>
    <col min="15364" max="15364" width="2.140625" customWidth="1"/>
    <col min="15365" max="15365" width="7.85546875" customWidth="1"/>
    <col min="15366" max="15366" width="27.7109375" customWidth="1"/>
    <col min="15367" max="15367" width="30.42578125" customWidth="1"/>
    <col min="15368" max="15368" width="11.85546875" customWidth="1"/>
    <col min="15369" max="15369" width="14.7109375" customWidth="1"/>
    <col min="15370" max="15370" width="12.85546875" customWidth="1"/>
    <col min="15371" max="15371" width="10" customWidth="1"/>
    <col min="15372" max="15372" width="25" customWidth="1"/>
    <col min="15373" max="15373" width="3.5703125" customWidth="1"/>
    <col min="15617" max="15617" width="2.140625" customWidth="1"/>
    <col min="15618" max="15618" width="0.5703125" customWidth="1"/>
    <col min="15619" max="15619" width="10.7109375" customWidth="1"/>
    <col min="15620" max="15620" width="2.140625" customWidth="1"/>
    <col min="15621" max="15621" width="7.85546875" customWidth="1"/>
    <col min="15622" max="15622" width="27.7109375" customWidth="1"/>
    <col min="15623" max="15623" width="30.42578125" customWidth="1"/>
    <col min="15624" max="15624" width="11.85546875" customWidth="1"/>
    <col min="15625" max="15625" width="14.7109375" customWidth="1"/>
    <col min="15626" max="15626" width="12.85546875" customWidth="1"/>
    <col min="15627" max="15627" width="10" customWidth="1"/>
    <col min="15628" max="15628" width="25" customWidth="1"/>
    <col min="15629" max="15629" width="3.5703125" customWidth="1"/>
    <col min="15873" max="15873" width="2.140625" customWidth="1"/>
    <col min="15874" max="15874" width="0.5703125" customWidth="1"/>
    <col min="15875" max="15875" width="10.7109375" customWidth="1"/>
    <col min="15876" max="15876" width="2.140625" customWidth="1"/>
    <col min="15877" max="15877" width="7.85546875" customWidth="1"/>
    <col min="15878" max="15878" width="27.7109375" customWidth="1"/>
    <col min="15879" max="15879" width="30.42578125" customWidth="1"/>
    <col min="15880" max="15880" width="11.85546875" customWidth="1"/>
    <col min="15881" max="15881" width="14.7109375" customWidth="1"/>
    <col min="15882" max="15882" width="12.85546875" customWidth="1"/>
    <col min="15883" max="15883" width="10" customWidth="1"/>
    <col min="15884" max="15884" width="25" customWidth="1"/>
    <col min="15885" max="15885" width="3.5703125" customWidth="1"/>
    <col min="16129" max="16129" width="2.140625" customWidth="1"/>
    <col min="16130" max="16130" width="0.5703125" customWidth="1"/>
    <col min="16131" max="16131" width="10.7109375" customWidth="1"/>
    <col min="16132" max="16132" width="2.140625" customWidth="1"/>
    <col min="16133" max="16133" width="7.85546875" customWidth="1"/>
    <col min="16134" max="16134" width="27.7109375" customWidth="1"/>
    <col min="16135" max="16135" width="30.42578125" customWidth="1"/>
    <col min="16136" max="16136" width="11.85546875" customWidth="1"/>
    <col min="16137" max="16137" width="14.7109375" customWidth="1"/>
    <col min="16138" max="16138" width="12.85546875" customWidth="1"/>
    <col min="16139" max="16139" width="10" customWidth="1"/>
    <col min="16140" max="16140" width="25" customWidth="1"/>
    <col min="16141" max="16141" width="3.5703125" customWidth="1"/>
  </cols>
  <sheetData>
    <row r="1" spans="1:13" ht="73.900000000000006" customHeight="1" x14ac:dyDescent="0.25">
      <c r="A1" s="179" t="s">
        <v>50</v>
      </c>
      <c r="B1" s="177"/>
      <c r="C1" s="177"/>
      <c r="D1" s="177"/>
      <c r="E1" s="177"/>
      <c r="F1" s="177"/>
      <c r="G1" s="177"/>
      <c r="H1" s="177"/>
      <c r="I1" s="177"/>
      <c r="J1" s="177"/>
      <c r="K1" s="177"/>
      <c r="L1" s="177"/>
      <c r="M1" s="177"/>
    </row>
    <row r="2" spans="1:13" ht="65.099999999999994" customHeight="1" x14ac:dyDescent="0.25">
      <c r="B2" s="177"/>
      <c r="C2" s="177"/>
      <c r="D2" s="177"/>
    </row>
    <row r="3" spans="1:13" ht="10.5" customHeight="1" x14ac:dyDescent="0.25"/>
    <row r="4" spans="1:13" ht="18" x14ac:dyDescent="0.25">
      <c r="C4" s="6" t="s">
        <v>2</v>
      </c>
      <c r="D4" s="178" t="s">
        <v>3</v>
      </c>
      <c r="E4" s="176"/>
      <c r="F4" s="6" t="s">
        <v>4</v>
      </c>
      <c r="G4" s="6" t="s">
        <v>5</v>
      </c>
      <c r="H4" s="6" t="s">
        <v>6</v>
      </c>
      <c r="I4" s="6" t="s">
        <v>7</v>
      </c>
      <c r="J4" s="6" t="s">
        <v>8</v>
      </c>
      <c r="K4" s="6" t="s">
        <v>9</v>
      </c>
      <c r="L4" s="6" t="s">
        <v>10</v>
      </c>
    </row>
    <row r="5" spans="1:13" ht="101.25" x14ac:dyDescent="0.25">
      <c r="C5" s="7" t="s">
        <v>51</v>
      </c>
      <c r="D5" s="175">
        <v>43530</v>
      </c>
      <c r="E5" s="176"/>
      <c r="F5" s="8" t="s">
        <v>12</v>
      </c>
      <c r="G5" s="8" t="s">
        <v>52</v>
      </c>
      <c r="H5" s="9">
        <v>79734</v>
      </c>
      <c r="I5" s="7" t="s">
        <v>53</v>
      </c>
      <c r="J5" s="7" t="s">
        <v>54</v>
      </c>
      <c r="K5" s="7" t="s">
        <v>11</v>
      </c>
      <c r="L5" s="10" t="s">
        <v>13</v>
      </c>
    </row>
    <row r="6" spans="1:13" ht="157.5" x14ac:dyDescent="0.25">
      <c r="C6" s="7" t="s">
        <v>55</v>
      </c>
      <c r="D6" s="175">
        <v>43538</v>
      </c>
      <c r="E6" s="176"/>
      <c r="F6" s="8" t="s">
        <v>14</v>
      </c>
      <c r="G6" s="8" t="s">
        <v>56</v>
      </c>
      <c r="H6" s="9">
        <v>58810.68</v>
      </c>
      <c r="I6" s="7" t="s">
        <v>57</v>
      </c>
      <c r="J6" s="7" t="s">
        <v>58</v>
      </c>
      <c r="K6" s="7" t="s">
        <v>11</v>
      </c>
      <c r="L6" s="10" t="s">
        <v>15</v>
      </c>
    </row>
    <row r="7" spans="1:13" ht="123.75" x14ac:dyDescent="0.25">
      <c r="C7" s="7" t="s">
        <v>59</v>
      </c>
      <c r="D7" s="175">
        <v>43542</v>
      </c>
      <c r="E7" s="176"/>
      <c r="F7" s="8" t="s">
        <v>21</v>
      </c>
      <c r="G7" s="8" t="s">
        <v>60</v>
      </c>
      <c r="H7" s="9">
        <v>16000</v>
      </c>
      <c r="I7" s="7" t="s">
        <v>61</v>
      </c>
      <c r="J7" s="7"/>
      <c r="K7" s="7" t="s">
        <v>11</v>
      </c>
      <c r="L7" s="10" t="s">
        <v>17</v>
      </c>
    </row>
    <row r="8" spans="1:13" ht="112.5" x14ac:dyDescent="0.25">
      <c r="C8" s="7" t="s">
        <v>62</v>
      </c>
      <c r="D8" s="175">
        <v>43585</v>
      </c>
      <c r="E8" s="176"/>
      <c r="F8" s="8" t="s">
        <v>16</v>
      </c>
      <c r="G8" s="8" t="s">
        <v>63</v>
      </c>
      <c r="H8" s="9">
        <v>39648</v>
      </c>
      <c r="I8" s="7" t="s">
        <v>64</v>
      </c>
      <c r="J8" s="7" t="s">
        <v>65</v>
      </c>
      <c r="K8" s="7" t="s">
        <v>11</v>
      </c>
      <c r="L8" s="10" t="s">
        <v>17</v>
      </c>
    </row>
    <row r="9" spans="1:13" ht="202.5" x14ac:dyDescent="0.25">
      <c r="C9" s="7" t="s">
        <v>66</v>
      </c>
      <c r="D9" s="175">
        <v>43657</v>
      </c>
      <c r="E9" s="176"/>
      <c r="F9" s="8" t="s">
        <v>20</v>
      </c>
      <c r="G9" s="8" t="s">
        <v>67</v>
      </c>
      <c r="H9" s="9">
        <v>6864</v>
      </c>
      <c r="I9" s="7" t="s">
        <v>68</v>
      </c>
      <c r="J9" s="7" t="s">
        <v>69</v>
      </c>
      <c r="K9" s="7" t="s">
        <v>11</v>
      </c>
      <c r="L9" s="10" t="s">
        <v>17</v>
      </c>
    </row>
    <row r="10" spans="1:13" ht="123.75" x14ac:dyDescent="0.25">
      <c r="C10" s="7" t="s">
        <v>70</v>
      </c>
      <c r="D10" s="175">
        <v>43662</v>
      </c>
      <c r="E10" s="176"/>
      <c r="F10" s="8" t="s">
        <v>18</v>
      </c>
      <c r="G10" s="8" t="s">
        <v>71</v>
      </c>
      <c r="H10" s="9">
        <v>67422.36</v>
      </c>
      <c r="I10" s="7" t="s">
        <v>72</v>
      </c>
      <c r="J10" s="7" t="s">
        <v>73</v>
      </c>
      <c r="K10" s="7" t="s">
        <v>11</v>
      </c>
      <c r="L10" s="10" t="s">
        <v>19</v>
      </c>
    </row>
    <row r="11" spans="1:13" ht="3.95" customHeight="1" x14ac:dyDescent="0.25"/>
  </sheetData>
  <mergeCells count="9">
    <mergeCell ref="D7:E7"/>
    <mergeCell ref="D8:E8"/>
    <mergeCell ref="D9:E9"/>
    <mergeCell ref="D10:E10"/>
    <mergeCell ref="A1:M1"/>
    <mergeCell ref="B2:D2"/>
    <mergeCell ref="D4:E4"/>
    <mergeCell ref="D5:E5"/>
    <mergeCell ref="D6:E6"/>
  </mergeCells>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43"/>
  <sheetViews>
    <sheetView tabSelected="1" topLeftCell="A5" zoomScaleNormal="100" workbookViewId="0">
      <selection activeCell="J44" sqref="J44"/>
    </sheetView>
  </sheetViews>
  <sheetFormatPr defaultRowHeight="15.75" x14ac:dyDescent="0.25"/>
  <cols>
    <col min="1" max="1" width="11" style="4" customWidth="1"/>
    <col min="2" max="2" width="12.5703125" style="42" customWidth="1"/>
    <col min="3" max="3" width="15" style="4" customWidth="1"/>
    <col min="4" max="4" width="22" style="4" customWidth="1"/>
    <col min="5" max="5" width="90.140625" style="25" customWidth="1"/>
    <col min="6" max="6" width="11.7109375" style="4" customWidth="1"/>
    <col min="7" max="7" width="12.140625" style="4" customWidth="1"/>
    <col min="8" max="8" width="14" style="3" customWidth="1"/>
    <col min="9" max="9" width="13.140625" style="3" customWidth="1"/>
    <col min="10" max="10" width="10.42578125" style="1" customWidth="1"/>
    <col min="11" max="12" width="15.85546875" style="4" customWidth="1"/>
    <col min="13" max="82" width="15.85546875" customWidth="1"/>
  </cols>
  <sheetData>
    <row r="1" spans="1:82" s="25" customFormat="1" x14ac:dyDescent="0.25">
      <c r="A1" s="20"/>
      <c r="B1" s="144"/>
      <c r="C1" s="20"/>
      <c r="D1" s="20"/>
      <c r="E1" s="20"/>
      <c r="F1" s="20"/>
      <c r="G1" s="20"/>
      <c r="H1" s="165"/>
      <c r="I1" s="165"/>
      <c r="J1" s="19"/>
      <c r="K1" s="20"/>
      <c r="L1" s="20"/>
    </row>
    <row r="2" spans="1:82" ht="6.75" customHeight="1" x14ac:dyDescent="0.25">
      <c r="A2" s="16"/>
      <c r="B2" s="40"/>
      <c r="C2" s="16"/>
      <c r="D2" s="16"/>
      <c r="E2" s="2"/>
      <c r="F2" s="16"/>
      <c r="G2" s="16"/>
      <c r="H2" s="21"/>
      <c r="I2" s="21"/>
      <c r="J2" s="19"/>
      <c r="K2" s="16"/>
      <c r="L2" s="16"/>
    </row>
    <row r="3" spans="1:82" s="27" customFormat="1" ht="30" customHeight="1" x14ac:dyDescent="0.2">
      <c r="A3" s="152" t="s">
        <v>343</v>
      </c>
      <c r="B3" s="152"/>
      <c r="C3" s="152"/>
      <c r="D3" s="152"/>
      <c r="E3" s="152"/>
      <c r="F3" s="151"/>
      <c r="G3" s="151"/>
      <c r="H3" s="166"/>
      <c r="I3" s="167"/>
      <c r="J3" s="168"/>
    </row>
    <row r="4" spans="1:82" ht="15.75" customHeight="1" x14ac:dyDescent="0.25">
      <c r="A4" s="16"/>
      <c r="B4" s="40"/>
      <c r="C4" s="16"/>
      <c r="D4" s="16"/>
      <c r="E4" s="2"/>
      <c r="F4" s="16"/>
      <c r="G4" s="16"/>
      <c r="H4" s="21"/>
      <c r="I4" s="21"/>
      <c r="J4" s="19"/>
      <c r="K4" s="16"/>
      <c r="L4" s="16"/>
    </row>
    <row r="5" spans="1:82" s="153" customFormat="1" ht="46.5" customHeight="1" x14ac:dyDescent="0.25">
      <c r="A5" s="180" t="s">
        <v>344</v>
      </c>
      <c r="B5" s="180" t="s">
        <v>345</v>
      </c>
      <c r="C5" s="180" t="s">
        <v>95</v>
      </c>
      <c r="D5" s="180" t="s">
        <v>346</v>
      </c>
      <c r="E5" s="180" t="s">
        <v>0</v>
      </c>
      <c r="F5" s="180" t="s">
        <v>129</v>
      </c>
      <c r="G5" s="180" t="s">
        <v>347</v>
      </c>
      <c r="H5" s="181" t="s">
        <v>348</v>
      </c>
      <c r="I5" s="181" t="s">
        <v>349</v>
      </c>
      <c r="J5" s="182" t="s">
        <v>1</v>
      </c>
      <c r="K5" s="180" t="s">
        <v>130</v>
      </c>
      <c r="L5" s="180"/>
      <c r="M5" s="180" t="s">
        <v>131</v>
      </c>
      <c r="N5" s="180"/>
      <c r="O5" s="180" t="s">
        <v>132</v>
      </c>
      <c r="P5" s="180"/>
      <c r="Q5" s="180" t="s">
        <v>350</v>
      </c>
      <c r="R5" s="180"/>
      <c r="S5" s="180" t="s">
        <v>351</v>
      </c>
      <c r="T5" s="180"/>
      <c r="U5" s="180" t="s">
        <v>352</v>
      </c>
      <c r="V5" s="180"/>
      <c r="W5" s="180" t="s">
        <v>353</v>
      </c>
      <c r="X5" s="180"/>
      <c r="Y5" s="180" t="s">
        <v>354</v>
      </c>
      <c r="Z5" s="180"/>
      <c r="AA5" s="180" t="s">
        <v>355</v>
      </c>
      <c r="AB5" s="180"/>
      <c r="AC5" s="180" t="s">
        <v>356</v>
      </c>
      <c r="AD5" s="180"/>
      <c r="AE5" s="180" t="s">
        <v>357</v>
      </c>
      <c r="AF5" s="180"/>
      <c r="AG5" s="180" t="s">
        <v>358</v>
      </c>
      <c r="AH5" s="180"/>
      <c r="AI5" s="180" t="s">
        <v>359</v>
      </c>
      <c r="AJ5" s="180"/>
      <c r="AK5" s="180" t="s">
        <v>360</v>
      </c>
      <c r="AL5" s="180"/>
      <c r="AM5" s="180" t="s">
        <v>361</v>
      </c>
      <c r="AN5" s="180"/>
      <c r="AO5" s="180" t="s">
        <v>362</v>
      </c>
      <c r="AP5" s="180"/>
      <c r="AQ5" s="180" t="s">
        <v>363</v>
      </c>
      <c r="AR5" s="180"/>
      <c r="AS5" s="180" t="s">
        <v>364</v>
      </c>
      <c r="AT5" s="180"/>
      <c r="AU5" s="180" t="s">
        <v>365</v>
      </c>
      <c r="AV5" s="180"/>
      <c r="AW5" s="180" t="s">
        <v>366</v>
      </c>
      <c r="AX5" s="180"/>
      <c r="AY5" s="180" t="s">
        <v>367</v>
      </c>
      <c r="AZ5" s="180"/>
      <c r="BA5" s="180" t="s">
        <v>368</v>
      </c>
      <c r="BB5" s="180"/>
      <c r="BC5" s="180" t="s">
        <v>369</v>
      </c>
      <c r="BD5" s="180"/>
      <c r="BE5" s="180" t="s">
        <v>370</v>
      </c>
      <c r="BF5" s="180"/>
      <c r="BG5" s="180" t="s">
        <v>570</v>
      </c>
      <c r="BH5" s="180"/>
      <c r="BI5" s="180" t="s">
        <v>571</v>
      </c>
      <c r="BJ5" s="180"/>
      <c r="BK5" s="180" t="s">
        <v>572</v>
      </c>
      <c r="BL5" s="180"/>
      <c r="BM5" s="180" t="s">
        <v>573</v>
      </c>
      <c r="BN5" s="180"/>
      <c r="BO5" s="180" t="s">
        <v>574</v>
      </c>
      <c r="BP5" s="180"/>
      <c r="BQ5" s="180" t="s">
        <v>575</v>
      </c>
      <c r="BR5" s="180"/>
      <c r="BS5" s="180" t="s">
        <v>576</v>
      </c>
      <c r="BT5" s="180"/>
      <c r="BU5" s="180" t="s">
        <v>577</v>
      </c>
      <c r="BV5" s="180"/>
      <c r="BW5" s="180" t="s">
        <v>578</v>
      </c>
      <c r="BX5" s="180"/>
      <c r="BY5" s="180" t="s">
        <v>579</v>
      </c>
      <c r="BZ5" s="180"/>
      <c r="CA5" s="180" t="s">
        <v>580</v>
      </c>
      <c r="CB5" s="180"/>
      <c r="CC5" s="180" t="s">
        <v>581</v>
      </c>
      <c r="CD5" s="180"/>
    </row>
    <row r="6" spans="1:82" s="153" customFormat="1" ht="24.75" customHeight="1" x14ac:dyDescent="0.25">
      <c r="A6" s="180"/>
      <c r="B6" s="180"/>
      <c r="C6" s="180"/>
      <c r="D6" s="180"/>
      <c r="E6" s="180"/>
      <c r="F6" s="180"/>
      <c r="G6" s="180"/>
      <c r="H6" s="181"/>
      <c r="I6" s="181"/>
      <c r="J6" s="182"/>
      <c r="K6" s="154" t="s">
        <v>96</v>
      </c>
      <c r="L6" s="154" t="s">
        <v>97</v>
      </c>
      <c r="M6" s="154" t="s">
        <v>96</v>
      </c>
      <c r="N6" s="154" t="s">
        <v>97</v>
      </c>
      <c r="O6" s="154" t="s">
        <v>96</v>
      </c>
      <c r="P6" s="154" t="s">
        <v>97</v>
      </c>
      <c r="Q6" s="154" t="s">
        <v>96</v>
      </c>
      <c r="R6" s="154" t="s">
        <v>97</v>
      </c>
      <c r="S6" s="154" t="s">
        <v>96</v>
      </c>
      <c r="T6" s="154" t="s">
        <v>97</v>
      </c>
      <c r="U6" s="154" t="s">
        <v>96</v>
      </c>
      <c r="V6" s="154" t="s">
        <v>97</v>
      </c>
      <c r="W6" s="154" t="s">
        <v>96</v>
      </c>
      <c r="X6" s="154" t="s">
        <v>97</v>
      </c>
      <c r="Y6" s="154" t="s">
        <v>96</v>
      </c>
      <c r="Z6" s="154" t="s">
        <v>97</v>
      </c>
      <c r="AA6" s="154" t="s">
        <v>96</v>
      </c>
      <c r="AB6" s="154" t="s">
        <v>97</v>
      </c>
      <c r="AC6" s="154" t="s">
        <v>96</v>
      </c>
      <c r="AD6" s="154" t="s">
        <v>97</v>
      </c>
      <c r="AE6" s="154" t="s">
        <v>96</v>
      </c>
      <c r="AF6" s="154" t="s">
        <v>97</v>
      </c>
      <c r="AG6" s="154" t="s">
        <v>96</v>
      </c>
      <c r="AH6" s="154" t="s">
        <v>97</v>
      </c>
      <c r="AI6" s="154" t="s">
        <v>96</v>
      </c>
      <c r="AJ6" s="154" t="s">
        <v>97</v>
      </c>
      <c r="AK6" s="154" t="s">
        <v>96</v>
      </c>
      <c r="AL6" s="154" t="s">
        <v>97</v>
      </c>
      <c r="AM6" s="154" t="s">
        <v>96</v>
      </c>
      <c r="AN6" s="154" t="s">
        <v>97</v>
      </c>
      <c r="AO6" s="154" t="s">
        <v>96</v>
      </c>
      <c r="AP6" s="154" t="s">
        <v>97</v>
      </c>
      <c r="AQ6" s="154" t="s">
        <v>96</v>
      </c>
      <c r="AR6" s="154" t="s">
        <v>97</v>
      </c>
      <c r="AS6" s="154" t="s">
        <v>96</v>
      </c>
      <c r="AT6" s="154" t="s">
        <v>97</v>
      </c>
      <c r="AU6" s="154" t="s">
        <v>96</v>
      </c>
      <c r="AV6" s="154" t="s">
        <v>97</v>
      </c>
      <c r="AW6" s="154" t="s">
        <v>96</v>
      </c>
      <c r="AX6" s="154" t="s">
        <v>97</v>
      </c>
      <c r="AY6" s="154" t="s">
        <v>96</v>
      </c>
      <c r="AZ6" s="154" t="s">
        <v>97</v>
      </c>
      <c r="BA6" s="154" t="s">
        <v>96</v>
      </c>
      <c r="BB6" s="154" t="s">
        <v>97</v>
      </c>
      <c r="BC6" s="154" t="s">
        <v>96</v>
      </c>
      <c r="BD6" s="154" t="s">
        <v>97</v>
      </c>
      <c r="BE6" s="154" t="s">
        <v>96</v>
      </c>
      <c r="BF6" s="154" t="s">
        <v>96</v>
      </c>
      <c r="BG6" s="154" t="s">
        <v>96</v>
      </c>
      <c r="BH6" s="154" t="s">
        <v>96</v>
      </c>
      <c r="BI6" s="154" t="s">
        <v>96</v>
      </c>
      <c r="BJ6" s="154" t="s">
        <v>96</v>
      </c>
      <c r="BK6" s="154" t="s">
        <v>96</v>
      </c>
      <c r="BL6" s="154" t="s">
        <v>96</v>
      </c>
      <c r="BM6" s="154" t="s">
        <v>96</v>
      </c>
      <c r="BN6" s="154" t="s">
        <v>96</v>
      </c>
      <c r="BO6" s="154" t="s">
        <v>96</v>
      </c>
      <c r="BP6" s="154" t="s">
        <v>96</v>
      </c>
      <c r="BQ6" s="154" t="s">
        <v>96</v>
      </c>
      <c r="BR6" s="154" t="s">
        <v>96</v>
      </c>
      <c r="BS6" s="154" t="s">
        <v>96</v>
      </c>
      <c r="BT6" s="154" t="s">
        <v>96</v>
      </c>
      <c r="BU6" s="154" t="s">
        <v>96</v>
      </c>
      <c r="BV6" s="154" t="s">
        <v>96</v>
      </c>
      <c r="BW6" s="154" t="s">
        <v>96</v>
      </c>
      <c r="BX6" s="154" t="s">
        <v>96</v>
      </c>
      <c r="BY6" s="154" t="s">
        <v>96</v>
      </c>
      <c r="BZ6" s="154" t="s">
        <v>96</v>
      </c>
      <c r="CA6" s="154" t="s">
        <v>96</v>
      </c>
      <c r="CB6" s="154" t="s">
        <v>96</v>
      </c>
      <c r="CC6" s="154" t="s">
        <v>96</v>
      </c>
      <c r="CD6" s="154" t="s">
        <v>96</v>
      </c>
    </row>
    <row r="7" spans="1:82" s="158" customFormat="1" ht="54" customHeight="1" x14ac:dyDescent="0.25">
      <c r="A7" s="155">
        <v>42502</v>
      </c>
      <c r="B7" s="156" t="s">
        <v>545</v>
      </c>
      <c r="C7" s="157" t="s">
        <v>211</v>
      </c>
      <c r="D7" s="157" t="s">
        <v>228</v>
      </c>
      <c r="E7" s="157" t="s">
        <v>249</v>
      </c>
      <c r="F7" s="169" t="s">
        <v>604</v>
      </c>
      <c r="G7" s="169" t="s">
        <v>605</v>
      </c>
      <c r="H7" s="183">
        <f>963.6+1445.4+963.6+1445.4+963.6+1445.4+963.59+963.59+1445.39+963.59+1445.39</f>
        <v>13008.55</v>
      </c>
      <c r="I7" s="159">
        <f>1445.39+1445.39+963.59+1445.39</f>
        <v>5299.76</v>
      </c>
      <c r="J7" s="169" t="s">
        <v>74</v>
      </c>
      <c r="K7" s="157" t="s">
        <v>309</v>
      </c>
      <c r="L7" s="157" t="s">
        <v>310</v>
      </c>
      <c r="M7" s="155" t="s">
        <v>591</v>
      </c>
      <c r="N7" s="155" t="s">
        <v>591</v>
      </c>
      <c r="O7" s="155" t="s">
        <v>591</v>
      </c>
      <c r="P7" s="155" t="s">
        <v>591</v>
      </c>
      <c r="Q7" s="155" t="s">
        <v>591</v>
      </c>
      <c r="R7" s="155" t="s">
        <v>591</v>
      </c>
      <c r="S7" s="155" t="s">
        <v>591</v>
      </c>
      <c r="T7" s="155" t="s">
        <v>591</v>
      </c>
      <c r="U7" s="155" t="s">
        <v>591</v>
      </c>
      <c r="V7" s="155" t="s">
        <v>591</v>
      </c>
      <c r="W7" s="155" t="s">
        <v>591</v>
      </c>
      <c r="X7" s="155" t="s">
        <v>591</v>
      </c>
      <c r="Y7" s="155" t="s">
        <v>591</v>
      </c>
      <c r="Z7" s="155" t="s">
        <v>591</v>
      </c>
      <c r="AA7" s="155" t="s">
        <v>591</v>
      </c>
      <c r="AB7" s="155" t="s">
        <v>591</v>
      </c>
      <c r="AC7" s="155" t="s">
        <v>591</v>
      </c>
      <c r="AD7" s="155" t="s">
        <v>591</v>
      </c>
      <c r="AE7" s="155" t="s">
        <v>591</v>
      </c>
      <c r="AF7" s="155" t="s">
        <v>591</v>
      </c>
      <c r="AG7" s="155" t="s">
        <v>591</v>
      </c>
      <c r="AH7" s="155" t="s">
        <v>591</v>
      </c>
      <c r="AI7" s="155" t="s">
        <v>591</v>
      </c>
      <c r="AJ7" s="155" t="s">
        <v>591</v>
      </c>
      <c r="AK7" s="155" t="s">
        <v>591</v>
      </c>
      <c r="AL7" s="155" t="s">
        <v>591</v>
      </c>
      <c r="AM7" s="155" t="s">
        <v>591</v>
      </c>
      <c r="AN7" s="155" t="s">
        <v>591</v>
      </c>
      <c r="AO7" s="155" t="s">
        <v>591</v>
      </c>
      <c r="AP7" s="155" t="s">
        <v>591</v>
      </c>
      <c r="AQ7" s="155" t="s">
        <v>591</v>
      </c>
      <c r="AR7" s="155" t="s">
        <v>591</v>
      </c>
      <c r="AS7" s="155" t="s">
        <v>591</v>
      </c>
      <c r="AT7" s="155" t="s">
        <v>591</v>
      </c>
      <c r="AU7" s="155" t="s">
        <v>591</v>
      </c>
      <c r="AV7" s="155" t="s">
        <v>591</v>
      </c>
      <c r="AW7" s="155" t="s">
        <v>591</v>
      </c>
      <c r="AX7" s="155" t="s">
        <v>591</v>
      </c>
      <c r="AY7" s="155" t="s">
        <v>591</v>
      </c>
      <c r="AZ7" s="155" t="s">
        <v>591</v>
      </c>
      <c r="BA7" s="155" t="s">
        <v>591</v>
      </c>
      <c r="BB7" s="155" t="s">
        <v>591</v>
      </c>
      <c r="BC7" s="155" t="s">
        <v>591</v>
      </c>
      <c r="BD7" s="155" t="s">
        <v>591</v>
      </c>
      <c r="BE7" s="155" t="s">
        <v>591</v>
      </c>
      <c r="BF7" s="155" t="s">
        <v>591</v>
      </c>
      <c r="BG7" s="155" t="s">
        <v>591</v>
      </c>
      <c r="BH7" s="155" t="s">
        <v>591</v>
      </c>
      <c r="BI7" s="155" t="s">
        <v>591</v>
      </c>
      <c r="BJ7" s="155" t="s">
        <v>591</v>
      </c>
      <c r="BK7" s="155" t="s">
        <v>591</v>
      </c>
      <c r="BL7" s="155" t="s">
        <v>591</v>
      </c>
      <c r="BM7" s="155" t="s">
        <v>591</v>
      </c>
      <c r="BN7" s="155" t="s">
        <v>591</v>
      </c>
      <c r="BO7" s="155" t="s">
        <v>591</v>
      </c>
      <c r="BP7" s="155" t="s">
        <v>591</v>
      </c>
      <c r="BQ7" s="155" t="s">
        <v>591</v>
      </c>
      <c r="BR7" s="155" t="s">
        <v>591</v>
      </c>
      <c r="BS7" s="155" t="s">
        <v>591</v>
      </c>
      <c r="BT7" s="155" t="s">
        <v>591</v>
      </c>
      <c r="BU7" s="155" t="s">
        <v>591</v>
      </c>
      <c r="BV7" s="155" t="s">
        <v>591</v>
      </c>
      <c r="BW7" s="155" t="s">
        <v>591</v>
      </c>
      <c r="BX7" s="155" t="s">
        <v>591</v>
      </c>
      <c r="BY7" s="155" t="s">
        <v>591</v>
      </c>
      <c r="BZ7" s="155" t="s">
        <v>591</v>
      </c>
      <c r="CA7" s="155" t="s">
        <v>591</v>
      </c>
      <c r="CB7" s="155" t="s">
        <v>591</v>
      </c>
      <c r="CC7" s="155" t="s">
        <v>591</v>
      </c>
      <c r="CD7" s="155" t="s">
        <v>591</v>
      </c>
    </row>
    <row r="8" spans="1:82" s="14" customFormat="1" ht="67.5" customHeight="1" x14ac:dyDescent="0.25">
      <c r="A8" s="127">
        <v>40634</v>
      </c>
      <c r="B8" s="145" t="s">
        <v>325</v>
      </c>
      <c r="C8" s="129" t="s">
        <v>202</v>
      </c>
      <c r="D8" s="129" t="s">
        <v>220</v>
      </c>
      <c r="E8" s="129" t="s">
        <v>236</v>
      </c>
      <c r="F8" s="173" t="s">
        <v>589</v>
      </c>
      <c r="G8" s="129" t="s">
        <v>259</v>
      </c>
      <c r="H8" s="148">
        <v>0</v>
      </c>
      <c r="I8" s="130">
        <f>170.68+170.68</f>
        <v>341.36</v>
      </c>
      <c r="J8" s="170" t="s">
        <v>569</v>
      </c>
      <c r="K8" s="129" t="s">
        <v>287</v>
      </c>
      <c r="L8" s="129" t="s">
        <v>288</v>
      </c>
      <c r="M8" s="155" t="s">
        <v>591</v>
      </c>
      <c r="N8" s="155" t="s">
        <v>591</v>
      </c>
      <c r="O8" s="155" t="s">
        <v>591</v>
      </c>
      <c r="P8" s="155" t="s">
        <v>591</v>
      </c>
      <c r="Q8" s="155" t="s">
        <v>591</v>
      </c>
      <c r="R8" s="155" t="s">
        <v>591</v>
      </c>
      <c r="S8" s="155" t="s">
        <v>591</v>
      </c>
      <c r="T8" s="155" t="s">
        <v>591</v>
      </c>
      <c r="U8" s="155" t="s">
        <v>591</v>
      </c>
      <c r="V8" s="155" t="s">
        <v>591</v>
      </c>
      <c r="W8" s="155" t="s">
        <v>591</v>
      </c>
      <c r="X8" s="155" t="s">
        <v>591</v>
      </c>
      <c r="Y8" s="155" t="s">
        <v>591</v>
      </c>
      <c r="Z8" s="155" t="s">
        <v>591</v>
      </c>
      <c r="AA8" s="155" t="s">
        <v>591</v>
      </c>
      <c r="AB8" s="155" t="s">
        <v>591</v>
      </c>
      <c r="AC8" s="155" t="s">
        <v>591</v>
      </c>
      <c r="AD8" s="155" t="s">
        <v>591</v>
      </c>
      <c r="AE8" s="155" t="s">
        <v>591</v>
      </c>
      <c r="AF8" s="155" t="s">
        <v>591</v>
      </c>
      <c r="AG8" s="155" t="s">
        <v>591</v>
      </c>
      <c r="AH8" s="155" t="s">
        <v>591</v>
      </c>
      <c r="AI8" s="155" t="s">
        <v>591</v>
      </c>
      <c r="AJ8" s="155" t="s">
        <v>591</v>
      </c>
      <c r="AK8" s="155" t="s">
        <v>591</v>
      </c>
      <c r="AL8" s="155" t="s">
        <v>591</v>
      </c>
      <c r="AM8" s="155" t="s">
        <v>591</v>
      </c>
      <c r="AN8" s="155" t="s">
        <v>591</v>
      </c>
      <c r="AO8" s="155" t="s">
        <v>591</v>
      </c>
      <c r="AP8" s="155" t="s">
        <v>591</v>
      </c>
      <c r="AQ8" s="155" t="s">
        <v>591</v>
      </c>
      <c r="AR8" s="155" t="s">
        <v>591</v>
      </c>
      <c r="AS8" s="155" t="s">
        <v>591</v>
      </c>
      <c r="AT8" s="155" t="s">
        <v>591</v>
      </c>
      <c r="AU8" s="155" t="s">
        <v>591</v>
      </c>
      <c r="AV8" s="155" t="s">
        <v>591</v>
      </c>
      <c r="AW8" s="155" t="s">
        <v>591</v>
      </c>
      <c r="AX8" s="155" t="s">
        <v>591</v>
      </c>
      <c r="AY8" s="155" t="s">
        <v>591</v>
      </c>
      <c r="AZ8" s="155" t="s">
        <v>591</v>
      </c>
      <c r="BA8" s="155" t="s">
        <v>591</v>
      </c>
      <c r="BB8" s="155" t="s">
        <v>591</v>
      </c>
      <c r="BC8" s="155" t="s">
        <v>591</v>
      </c>
      <c r="BD8" s="155" t="s">
        <v>591</v>
      </c>
      <c r="BE8" s="155" t="s">
        <v>591</v>
      </c>
      <c r="BF8" s="155" t="s">
        <v>591</v>
      </c>
      <c r="BG8" s="155" t="s">
        <v>591</v>
      </c>
      <c r="BH8" s="155" t="s">
        <v>591</v>
      </c>
      <c r="BI8" s="155" t="s">
        <v>591</v>
      </c>
      <c r="BJ8" s="155" t="s">
        <v>591</v>
      </c>
      <c r="BK8" s="155" t="s">
        <v>591</v>
      </c>
      <c r="BL8" s="155" t="s">
        <v>591</v>
      </c>
      <c r="BM8" s="155" t="s">
        <v>591</v>
      </c>
      <c r="BN8" s="155" t="s">
        <v>591</v>
      </c>
      <c r="BO8" s="155" t="s">
        <v>591</v>
      </c>
      <c r="BP8" s="155" t="s">
        <v>591</v>
      </c>
      <c r="BQ8" s="155" t="s">
        <v>591</v>
      </c>
      <c r="BR8" s="155" t="s">
        <v>591</v>
      </c>
      <c r="BS8" s="155" t="s">
        <v>591</v>
      </c>
      <c r="BT8" s="155" t="s">
        <v>591</v>
      </c>
      <c r="BU8" s="155" t="s">
        <v>591</v>
      </c>
      <c r="BV8" s="155" t="s">
        <v>591</v>
      </c>
      <c r="BW8" s="155" t="s">
        <v>591</v>
      </c>
      <c r="BX8" s="155" t="s">
        <v>591</v>
      </c>
      <c r="BY8" s="155" t="s">
        <v>591</v>
      </c>
      <c r="BZ8" s="155" t="s">
        <v>591</v>
      </c>
      <c r="CA8" s="155" t="s">
        <v>591</v>
      </c>
      <c r="CB8" s="155" t="s">
        <v>591</v>
      </c>
      <c r="CC8" s="155" t="s">
        <v>591</v>
      </c>
      <c r="CD8" s="155" t="s">
        <v>591</v>
      </c>
    </row>
    <row r="9" spans="1:82" s="14" customFormat="1" ht="58.5" customHeight="1" x14ac:dyDescent="0.25">
      <c r="A9" s="133">
        <v>43474</v>
      </c>
      <c r="B9" s="146" t="s">
        <v>175</v>
      </c>
      <c r="C9" s="134" t="s">
        <v>100</v>
      </c>
      <c r="D9" s="134" t="s">
        <v>23</v>
      </c>
      <c r="E9" s="135" t="s">
        <v>24</v>
      </c>
      <c r="F9" s="136" t="s">
        <v>600</v>
      </c>
      <c r="G9" s="68"/>
      <c r="H9" s="137">
        <v>24900</v>
      </c>
      <c r="I9" s="137">
        <v>0</v>
      </c>
      <c r="J9" s="50" t="s">
        <v>569</v>
      </c>
      <c r="K9" s="18" t="s">
        <v>118</v>
      </c>
      <c r="L9" s="18" t="s">
        <v>117</v>
      </c>
      <c r="M9" s="143" t="s">
        <v>99</v>
      </c>
      <c r="N9" s="143" t="s">
        <v>119</v>
      </c>
      <c r="O9" s="155" t="s">
        <v>591</v>
      </c>
      <c r="P9" s="155" t="s">
        <v>591</v>
      </c>
      <c r="Q9" s="155" t="s">
        <v>591</v>
      </c>
      <c r="R9" s="155" t="s">
        <v>591</v>
      </c>
      <c r="S9" s="155" t="s">
        <v>591</v>
      </c>
      <c r="T9" s="155" t="s">
        <v>591</v>
      </c>
      <c r="U9" s="155" t="s">
        <v>591</v>
      </c>
      <c r="V9" s="155" t="s">
        <v>591</v>
      </c>
      <c r="W9" s="155" t="s">
        <v>591</v>
      </c>
      <c r="X9" s="155" t="s">
        <v>591</v>
      </c>
      <c r="Y9" s="155" t="s">
        <v>591</v>
      </c>
      <c r="Z9" s="155" t="s">
        <v>591</v>
      </c>
      <c r="AA9" s="155" t="s">
        <v>591</v>
      </c>
      <c r="AB9" s="155" t="s">
        <v>591</v>
      </c>
      <c r="AC9" s="155" t="s">
        <v>591</v>
      </c>
      <c r="AD9" s="155" t="s">
        <v>591</v>
      </c>
      <c r="AE9" s="155" t="s">
        <v>591</v>
      </c>
      <c r="AF9" s="155" t="s">
        <v>591</v>
      </c>
      <c r="AG9" s="155" t="s">
        <v>591</v>
      </c>
      <c r="AH9" s="155" t="s">
        <v>591</v>
      </c>
      <c r="AI9" s="155" t="s">
        <v>591</v>
      </c>
      <c r="AJ9" s="155" t="s">
        <v>591</v>
      </c>
      <c r="AK9" s="155" t="s">
        <v>591</v>
      </c>
      <c r="AL9" s="155" t="s">
        <v>591</v>
      </c>
      <c r="AM9" s="155" t="s">
        <v>591</v>
      </c>
      <c r="AN9" s="155" t="s">
        <v>591</v>
      </c>
      <c r="AO9" s="155" t="s">
        <v>591</v>
      </c>
      <c r="AP9" s="155" t="s">
        <v>591</v>
      </c>
      <c r="AQ9" s="155" t="s">
        <v>591</v>
      </c>
      <c r="AR9" s="155" t="s">
        <v>591</v>
      </c>
      <c r="AS9" s="155" t="s">
        <v>591</v>
      </c>
      <c r="AT9" s="155" t="s">
        <v>591</v>
      </c>
      <c r="AU9" s="155" t="s">
        <v>591</v>
      </c>
      <c r="AV9" s="155" t="s">
        <v>591</v>
      </c>
      <c r="AW9" s="155" t="s">
        <v>591</v>
      </c>
      <c r="AX9" s="155" t="s">
        <v>591</v>
      </c>
      <c r="AY9" s="155" t="s">
        <v>591</v>
      </c>
      <c r="AZ9" s="155" t="s">
        <v>591</v>
      </c>
      <c r="BA9" s="155" t="s">
        <v>591</v>
      </c>
      <c r="BB9" s="155" t="s">
        <v>591</v>
      </c>
      <c r="BC9" s="155" t="s">
        <v>591</v>
      </c>
      <c r="BD9" s="155" t="s">
        <v>591</v>
      </c>
      <c r="BE9" s="155" t="s">
        <v>591</v>
      </c>
      <c r="BF9" s="155" t="s">
        <v>591</v>
      </c>
      <c r="BG9" s="155" t="s">
        <v>591</v>
      </c>
      <c r="BH9" s="155" t="s">
        <v>591</v>
      </c>
      <c r="BI9" s="155" t="s">
        <v>591</v>
      </c>
      <c r="BJ9" s="155" t="s">
        <v>591</v>
      </c>
      <c r="BK9" s="155" t="s">
        <v>591</v>
      </c>
      <c r="BL9" s="155" t="s">
        <v>591</v>
      </c>
      <c r="BM9" s="155" t="s">
        <v>591</v>
      </c>
      <c r="BN9" s="155" t="s">
        <v>591</v>
      </c>
      <c r="BO9" s="155" t="s">
        <v>591</v>
      </c>
      <c r="BP9" s="155" t="s">
        <v>591</v>
      </c>
      <c r="BQ9" s="155" t="s">
        <v>591</v>
      </c>
      <c r="BR9" s="155" t="s">
        <v>591</v>
      </c>
      <c r="BS9" s="155" t="s">
        <v>591</v>
      </c>
      <c r="BT9" s="155" t="s">
        <v>591</v>
      </c>
      <c r="BU9" s="155" t="s">
        <v>591</v>
      </c>
      <c r="BV9" s="155" t="s">
        <v>591</v>
      </c>
      <c r="BW9" s="155" t="s">
        <v>591</v>
      </c>
      <c r="BX9" s="155" t="s">
        <v>591</v>
      </c>
      <c r="BY9" s="155" t="s">
        <v>591</v>
      </c>
      <c r="BZ9" s="155" t="s">
        <v>591</v>
      </c>
      <c r="CA9" s="155" t="s">
        <v>591</v>
      </c>
      <c r="CB9" s="155" t="s">
        <v>591</v>
      </c>
      <c r="CC9" s="155" t="s">
        <v>591</v>
      </c>
      <c r="CD9" s="155" t="s">
        <v>591</v>
      </c>
    </row>
    <row r="10" spans="1:82" s="164" customFormat="1" ht="70.5" customHeight="1" x14ac:dyDescent="0.25">
      <c r="A10" s="155">
        <v>42212</v>
      </c>
      <c r="B10" s="156" t="s">
        <v>546</v>
      </c>
      <c r="C10" s="157" t="s">
        <v>201</v>
      </c>
      <c r="D10" s="157" t="s">
        <v>219</v>
      </c>
      <c r="E10" s="157" t="s">
        <v>235</v>
      </c>
      <c r="F10" s="173" t="s">
        <v>589</v>
      </c>
      <c r="G10" s="157" t="s">
        <v>258</v>
      </c>
      <c r="H10" s="161">
        <v>0</v>
      </c>
      <c r="I10" s="159">
        <f>0</f>
        <v>0</v>
      </c>
      <c r="J10" s="169" t="s">
        <v>74</v>
      </c>
      <c r="K10" s="169" t="s">
        <v>596</v>
      </c>
      <c r="L10" s="169" t="s">
        <v>597</v>
      </c>
      <c r="M10" s="155" t="s">
        <v>598</v>
      </c>
      <c r="N10" s="155" t="s">
        <v>599</v>
      </c>
      <c r="O10" s="155" t="s">
        <v>591</v>
      </c>
      <c r="P10" s="155" t="s">
        <v>591</v>
      </c>
      <c r="Q10" s="155" t="s">
        <v>591</v>
      </c>
      <c r="R10" s="155" t="s">
        <v>591</v>
      </c>
      <c r="S10" s="155" t="s">
        <v>591</v>
      </c>
      <c r="T10" s="155" t="s">
        <v>591</v>
      </c>
      <c r="U10" s="155" t="s">
        <v>591</v>
      </c>
      <c r="V10" s="155" t="s">
        <v>591</v>
      </c>
      <c r="W10" s="155" t="s">
        <v>591</v>
      </c>
      <c r="X10" s="155" t="s">
        <v>591</v>
      </c>
      <c r="Y10" s="155" t="s">
        <v>591</v>
      </c>
      <c r="Z10" s="155" t="s">
        <v>591</v>
      </c>
      <c r="AA10" s="155" t="s">
        <v>591</v>
      </c>
      <c r="AB10" s="155" t="s">
        <v>591</v>
      </c>
      <c r="AC10" s="155" t="s">
        <v>591</v>
      </c>
      <c r="AD10" s="155" t="s">
        <v>591</v>
      </c>
      <c r="AE10" s="155" t="s">
        <v>591</v>
      </c>
      <c r="AF10" s="155" t="s">
        <v>591</v>
      </c>
      <c r="AG10" s="155" t="s">
        <v>591</v>
      </c>
      <c r="AH10" s="155" t="s">
        <v>591</v>
      </c>
      <c r="AI10" s="155" t="s">
        <v>591</v>
      </c>
      <c r="AJ10" s="155" t="s">
        <v>591</v>
      </c>
      <c r="AK10" s="155" t="s">
        <v>591</v>
      </c>
      <c r="AL10" s="155" t="s">
        <v>591</v>
      </c>
      <c r="AM10" s="155" t="s">
        <v>591</v>
      </c>
      <c r="AN10" s="155" t="s">
        <v>591</v>
      </c>
      <c r="AO10" s="155" t="s">
        <v>591</v>
      </c>
      <c r="AP10" s="155" t="s">
        <v>591</v>
      </c>
      <c r="AQ10" s="155" t="s">
        <v>591</v>
      </c>
      <c r="AR10" s="155" t="s">
        <v>591</v>
      </c>
      <c r="AS10" s="155" t="s">
        <v>591</v>
      </c>
      <c r="AT10" s="155" t="s">
        <v>591</v>
      </c>
      <c r="AU10" s="155" t="s">
        <v>591</v>
      </c>
      <c r="AV10" s="155" t="s">
        <v>591</v>
      </c>
      <c r="AW10" s="155" t="s">
        <v>591</v>
      </c>
      <c r="AX10" s="155" t="s">
        <v>591</v>
      </c>
      <c r="AY10" s="155" t="s">
        <v>591</v>
      </c>
      <c r="AZ10" s="155" t="s">
        <v>591</v>
      </c>
      <c r="BA10" s="155" t="s">
        <v>591</v>
      </c>
      <c r="BB10" s="155" t="s">
        <v>591</v>
      </c>
      <c r="BC10" s="155" t="s">
        <v>591</v>
      </c>
      <c r="BD10" s="155" t="s">
        <v>591</v>
      </c>
      <c r="BE10" s="155" t="s">
        <v>591</v>
      </c>
      <c r="BF10" s="155" t="s">
        <v>591</v>
      </c>
      <c r="BG10" s="155" t="s">
        <v>591</v>
      </c>
      <c r="BH10" s="155" t="s">
        <v>591</v>
      </c>
      <c r="BI10" s="155" t="s">
        <v>591</v>
      </c>
      <c r="BJ10" s="155" t="s">
        <v>591</v>
      </c>
      <c r="BK10" s="155" t="s">
        <v>591</v>
      </c>
      <c r="BL10" s="155" t="s">
        <v>591</v>
      </c>
      <c r="BM10" s="155" t="s">
        <v>591</v>
      </c>
      <c r="BN10" s="155" t="s">
        <v>591</v>
      </c>
      <c r="BO10" s="155" t="s">
        <v>591</v>
      </c>
      <c r="BP10" s="155" t="s">
        <v>591</v>
      </c>
      <c r="BQ10" s="155" t="s">
        <v>591</v>
      </c>
      <c r="BR10" s="155" t="s">
        <v>591</v>
      </c>
      <c r="BS10" s="155" t="s">
        <v>591</v>
      </c>
      <c r="BT10" s="155" t="s">
        <v>591</v>
      </c>
      <c r="BU10" s="155" t="s">
        <v>591</v>
      </c>
      <c r="BV10" s="155" t="s">
        <v>591</v>
      </c>
      <c r="BW10" s="155" t="s">
        <v>591</v>
      </c>
      <c r="BX10" s="155" t="s">
        <v>591</v>
      </c>
      <c r="BY10" s="155" t="s">
        <v>591</v>
      </c>
      <c r="BZ10" s="155" t="s">
        <v>591</v>
      </c>
      <c r="CA10" s="155" t="s">
        <v>591</v>
      </c>
      <c r="CB10" s="155" t="s">
        <v>591</v>
      </c>
      <c r="CC10" s="155" t="s">
        <v>591</v>
      </c>
      <c r="CD10" s="155" t="s">
        <v>591</v>
      </c>
    </row>
    <row r="11" spans="1:82" s="14" customFormat="1" ht="46.5" customHeight="1" x14ac:dyDescent="0.25">
      <c r="A11" s="128">
        <v>42272</v>
      </c>
      <c r="B11" s="145" t="s">
        <v>587</v>
      </c>
      <c r="C11" s="129" t="s">
        <v>203</v>
      </c>
      <c r="D11" s="129" t="s">
        <v>221</v>
      </c>
      <c r="E11" s="129" t="s">
        <v>238</v>
      </c>
      <c r="F11" s="173" t="s">
        <v>589</v>
      </c>
      <c r="G11" s="129" t="s">
        <v>261</v>
      </c>
      <c r="H11" s="148">
        <v>0</v>
      </c>
      <c r="I11" s="130">
        <f>380*6</f>
        <v>2280</v>
      </c>
      <c r="J11" s="170" t="s">
        <v>74</v>
      </c>
      <c r="K11" s="129" t="s">
        <v>290</v>
      </c>
      <c r="L11" s="129" t="s">
        <v>291</v>
      </c>
      <c r="M11" s="129" t="s">
        <v>292</v>
      </c>
      <c r="N11" s="129" t="s">
        <v>293</v>
      </c>
      <c r="O11" s="155" t="s">
        <v>591</v>
      </c>
      <c r="P11" s="155" t="s">
        <v>591</v>
      </c>
      <c r="Q11" s="155" t="s">
        <v>591</v>
      </c>
      <c r="R11" s="155" t="s">
        <v>591</v>
      </c>
      <c r="S11" s="155" t="s">
        <v>591</v>
      </c>
      <c r="T11" s="155" t="s">
        <v>591</v>
      </c>
      <c r="U11" s="155" t="s">
        <v>591</v>
      </c>
      <c r="V11" s="155" t="s">
        <v>591</v>
      </c>
      <c r="W11" s="155" t="s">
        <v>591</v>
      </c>
      <c r="X11" s="155" t="s">
        <v>591</v>
      </c>
      <c r="Y11" s="155" t="s">
        <v>591</v>
      </c>
      <c r="Z11" s="155" t="s">
        <v>591</v>
      </c>
      <c r="AA11" s="155" t="s">
        <v>591</v>
      </c>
      <c r="AB11" s="155" t="s">
        <v>591</v>
      </c>
      <c r="AC11" s="155" t="s">
        <v>591</v>
      </c>
      <c r="AD11" s="155" t="s">
        <v>591</v>
      </c>
      <c r="AE11" s="155" t="s">
        <v>591</v>
      </c>
      <c r="AF11" s="155" t="s">
        <v>591</v>
      </c>
      <c r="AG11" s="155" t="s">
        <v>591</v>
      </c>
      <c r="AH11" s="155" t="s">
        <v>591</v>
      </c>
      <c r="AI11" s="155" t="s">
        <v>591</v>
      </c>
      <c r="AJ11" s="155" t="s">
        <v>591</v>
      </c>
      <c r="AK11" s="155" t="s">
        <v>591</v>
      </c>
      <c r="AL11" s="155" t="s">
        <v>591</v>
      </c>
      <c r="AM11" s="155" t="s">
        <v>591</v>
      </c>
      <c r="AN11" s="155" t="s">
        <v>591</v>
      </c>
      <c r="AO11" s="155" t="s">
        <v>591</v>
      </c>
      <c r="AP11" s="155" t="s">
        <v>591</v>
      </c>
      <c r="AQ11" s="155" t="s">
        <v>591</v>
      </c>
      <c r="AR11" s="155" t="s">
        <v>591</v>
      </c>
      <c r="AS11" s="155" t="s">
        <v>591</v>
      </c>
      <c r="AT11" s="155" t="s">
        <v>591</v>
      </c>
      <c r="AU11" s="155" t="s">
        <v>591</v>
      </c>
      <c r="AV11" s="155" t="s">
        <v>591</v>
      </c>
      <c r="AW11" s="155" t="s">
        <v>591</v>
      </c>
      <c r="AX11" s="155" t="s">
        <v>591</v>
      </c>
      <c r="AY11" s="155" t="s">
        <v>591</v>
      </c>
      <c r="AZ11" s="155" t="s">
        <v>591</v>
      </c>
      <c r="BA11" s="155" t="s">
        <v>591</v>
      </c>
      <c r="BB11" s="155" t="s">
        <v>591</v>
      </c>
      <c r="BC11" s="155" t="s">
        <v>591</v>
      </c>
      <c r="BD11" s="155" t="s">
        <v>591</v>
      </c>
      <c r="BE11" s="155" t="s">
        <v>591</v>
      </c>
      <c r="BF11" s="155" t="s">
        <v>591</v>
      </c>
      <c r="BG11" s="155" t="s">
        <v>591</v>
      </c>
      <c r="BH11" s="155" t="s">
        <v>591</v>
      </c>
      <c r="BI11" s="155" t="s">
        <v>591</v>
      </c>
      <c r="BJ11" s="155" t="s">
        <v>591</v>
      </c>
      <c r="BK11" s="155" t="s">
        <v>591</v>
      </c>
      <c r="BL11" s="155" t="s">
        <v>591</v>
      </c>
      <c r="BM11" s="155" t="s">
        <v>591</v>
      </c>
      <c r="BN11" s="155" t="s">
        <v>591</v>
      </c>
      <c r="BO11" s="155" t="s">
        <v>591</v>
      </c>
      <c r="BP11" s="155" t="s">
        <v>591</v>
      </c>
      <c r="BQ11" s="155" t="s">
        <v>591</v>
      </c>
      <c r="BR11" s="155" t="s">
        <v>591</v>
      </c>
      <c r="BS11" s="155" t="s">
        <v>591</v>
      </c>
      <c r="BT11" s="155" t="s">
        <v>591</v>
      </c>
      <c r="BU11" s="155" t="s">
        <v>591</v>
      </c>
      <c r="BV11" s="155" t="s">
        <v>591</v>
      </c>
      <c r="BW11" s="155" t="s">
        <v>591</v>
      </c>
      <c r="BX11" s="155" t="s">
        <v>591</v>
      </c>
      <c r="BY11" s="155" t="s">
        <v>591</v>
      </c>
      <c r="BZ11" s="155" t="s">
        <v>591</v>
      </c>
      <c r="CA11" s="155" t="s">
        <v>591</v>
      </c>
      <c r="CB11" s="155" t="s">
        <v>591</v>
      </c>
      <c r="CC11" s="155" t="s">
        <v>591</v>
      </c>
      <c r="CD11" s="155" t="s">
        <v>591</v>
      </c>
    </row>
    <row r="12" spans="1:82" s="14" customFormat="1" ht="64.5" customHeight="1" x14ac:dyDescent="0.25">
      <c r="A12" s="139">
        <v>43481</v>
      </c>
      <c r="B12" s="146" t="s">
        <v>176</v>
      </c>
      <c r="C12" s="136" t="s">
        <v>98</v>
      </c>
      <c r="D12" s="18" t="s">
        <v>29</v>
      </c>
      <c r="E12" s="140" t="s">
        <v>30</v>
      </c>
      <c r="F12" s="141" t="s">
        <v>32</v>
      </c>
      <c r="G12" s="129" t="s">
        <v>268</v>
      </c>
      <c r="H12" s="142">
        <v>46766.31</v>
      </c>
      <c r="I12" s="130">
        <f>4842.96+3597.17+4260.44+4693.7+4039.83+4973.08</f>
        <v>26407.18</v>
      </c>
      <c r="J12" s="50" t="s">
        <v>74</v>
      </c>
      <c r="K12" s="18" t="s">
        <v>99</v>
      </c>
      <c r="L12" s="18" t="s">
        <v>119</v>
      </c>
      <c r="M12" s="155" t="s">
        <v>591</v>
      </c>
      <c r="N12" s="155" t="s">
        <v>591</v>
      </c>
      <c r="O12" s="155" t="s">
        <v>591</v>
      </c>
      <c r="P12" s="155" t="s">
        <v>591</v>
      </c>
      <c r="Q12" s="155" t="s">
        <v>591</v>
      </c>
      <c r="R12" s="155" t="s">
        <v>591</v>
      </c>
      <c r="S12" s="155" t="s">
        <v>591</v>
      </c>
      <c r="T12" s="155" t="s">
        <v>591</v>
      </c>
      <c r="U12" s="155" t="s">
        <v>591</v>
      </c>
      <c r="V12" s="155" t="s">
        <v>591</v>
      </c>
      <c r="W12" s="155" t="s">
        <v>591</v>
      </c>
      <c r="X12" s="155" t="s">
        <v>591</v>
      </c>
      <c r="Y12" s="155" t="s">
        <v>591</v>
      </c>
      <c r="Z12" s="155" t="s">
        <v>591</v>
      </c>
      <c r="AA12" s="155" t="s">
        <v>591</v>
      </c>
      <c r="AB12" s="155" t="s">
        <v>591</v>
      </c>
      <c r="AC12" s="155" t="s">
        <v>591</v>
      </c>
      <c r="AD12" s="155" t="s">
        <v>591</v>
      </c>
      <c r="AE12" s="155" t="s">
        <v>591</v>
      </c>
      <c r="AF12" s="155" t="s">
        <v>591</v>
      </c>
      <c r="AG12" s="155" t="s">
        <v>591</v>
      </c>
      <c r="AH12" s="155" t="s">
        <v>591</v>
      </c>
      <c r="AI12" s="155" t="s">
        <v>591</v>
      </c>
      <c r="AJ12" s="155" t="s">
        <v>591</v>
      </c>
      <c r="AK12" s="155" t="s">
        <v>591</v>
      </c>
      <c r="AL12" s="155" t="s">
        <v>591</v>
      </c>
      <c r="AM12" s="155" t="s">
        <v>591</v>
      </c>
      <c r="AN12" s="155" t="s">
        <v>591</v>
      </c>
      <c r="AO12" s="155" t="s">
        <v>591</v>
      </c>
      <c r="AP12" s="155" t="s">
        <v>591</v>
      </c>
      <c r="AQ12" s="155" t="s">
        <v>591</v>
      </c>
      <c r="AR12" s="155" t="s">
        <v>591</v>
      </c>
      <c r="AS12" s="155" t="s">
        <v>591</v>
      </c>
      <c r="AT12" s="155" t="s">
        <v>591</v>
      </c>
      <c r="AU12" s="155" t="s">
        <v>591</v>
      </c>
      <c r="AV12" s="155" t="s">
        <v>591</v>
      </c>
      <c r="AW12" s="155" t="s">
        <v>591</v>
      </c>
      <c r="AX12" s="155" t="s">
        <v>591</v>
      </c>
      <c r="AY12" s="155" t="s">
        <v>591</v>
      </c>
      <c r="AZ12" s="155" t="s">
        <v>591</v>
      </c>
      <c r="BA12" s="155" t="s">
        <v>591</v>
      </c>
      <c r="BB12" s="155" t="s">
        <v>591</v>
      </c>
      <c r="BC12" s="155" t="s">
        <v>591</v>
      </c>
      <c r="BD12" s="155" t="s">
        <v>591</v>
      </c>
      <c r="BE12" s="155" t="s">
        <v>591</v>
      </c>
      <c r="BF12" s="155" t="s">
        <v>591</v>
      </c>
      <c r="BG12" s="155" t="s">
        <v>591</v>
      </c>
      <c r="BH12" s="155" t="s">
        <v>591</v>
      </c>
      <c r="BI12" s="155" t="s">
        <v>591</v>
      </c>
      <c r="BJ12" s="155" t="s">
        <v>591</v>
      </c>
      <c r="BK12" s="155" t="s">
        <v>591</v>
      </c>
      <c r="BL12" s="155" t="s">
        <v>591</v>
      </c>
      <c r="BM12" s="155" t="s">
        <v>591</v>
      </c>
      <c r="BN12" s="155" t="s">
        <v>591</v>
      </c>
      <c r="BO12" s="155" t="s">
        <v>591</v>
      </c>
      <c r="BP12" s="155" t="s">
        <v>591</v>
      </c>
      <c r="BQ12" s="155" t="s">
        <v>591</v>
      </c>
      <c r="BR12" s="155" t="s">
        <v>591</v>
      </c>
      <c r="BS12" s="155" t="s">
        <v>591</v>
      </c>
      <c r="BT12" s="155" t="s">
        <v>591</v>
      </c>
      <c r="BU12" s="155" t="s">
        <v>591</v>
      </c>
      <c r="BV12" s="155" t="s">
        <v>591</v>
      </c>
      <c r="BW12" s="155" t="s">
        <v>591</v>
      </c>
      <c r="BX12" s="155" t="s">
        <v>591</v>
      </c>
      <c r="BY12" s="155" t="s">
        <v>591</v>
      </c>
      <c r="BZ12" s="155" t="s">
        <v>591</v>
      </c>
      <c r="CA12" s="155" t="s">
        <v>591</v>
      </c>
      <c r="CB12" s="155" t="s">
        <v>591</v>
      </c>
      <c r="CC12" s="155" t="s">
        <v>591</v>
      </c>
      <c r="CD12" s="155" t="s">
        <v>591</v>
      </c>
    </row>
    <row r="13" spans="1:82" s="14" customFormat="1" ht="41.25" customHeight="1" x14ac:dyDescent="0.25">
      <c r="A13" s="127">
        <v>43836</v>
      </c>
      <c r="B13" s="145" t="s">
        <v>342</v>
      </c>
      <c r="C13" s="129" t="s">
        <v>216</v>
      </c>
      <c r="D13" s="129" t="s">
        <v>233</v>
      </c>
      <c r="E13" s="129" t="s">
        <v>254</v>
      </c>
      <c r="F13" s="173" t="s">
        <v>589</v>
      </c>
      <c r="G13" s="129" t="s">
        <v>284</v>
      </c>
      <c r="H13" s="148">
        <v>0</v>
      </c>
      <c r="I13" s="130">
        <f>1000+3000+3000</f>
        <v>7000</v>
      </c>
      <c r="J13" s="170" t="s">
        <v>74</v>
      </c>
      <c r="K13" s="129" t="s">
        <v>323</v>
      </c>
      <c r="L13" s="129" t="s">
        <v>324</v>
      </c>
      <c r="M13" s="155" t="s">
        <v>591</v>
      </c>
      <c r="N13" s="155" t="s">
        <v>591</v>
      </c>
      <c r="O13" s="155" t="s">
        <v>591</v>
      </c>
      <c r="P13" s="155" t="s">
        <v>591</v>
      </c>
      <c r="Q13" s="155" t="s">
        <v>591</v>
      </c>
      <c r="R13" s="155" t="s">
        <v>591</v>
      </c>
      <c r="S13" s="155" t="s">
        <v>591</v>
      </c>
      <c r="T13" s="155" t="s">
        <v>591</v>
      </c>
      <c r="U13" s="155" t="s">
        <v>591</v>
      </c>
      <c r="V13" s="155" t="s">
        <v>591</v>
      </c>
      <c r="W13" s="155" t="s">
        <v>591</v>
      </c>
      <c r="X13" s="155" t="s">
        <v>591</v>
      </c>
      <c r="Y13" s="155" t="s">
        <v>591</v>
      </c>
      <c r="Z13" s="155" t="s">
        <v>591</v>
      </c>
      <c r="AA13" s="155" t="s">
        <v>591</v>
      </c>
      <c r="AB13" s="155" t="s">
        <v>591</v>
      </c>
      <c r="AC13" s="155" t="s">
        <v>591</v>
      </c>
      <c r="AD13" s="155" t="s">
        <v>591</v>
      </c>
      <c r="AE13" s="155" t="s">
        <v>591</v>
      </c>
      <c r="AF13" s="155" t="s">
        <v>591</v>
      </c>
      <c r="AG13" s="155" t="s">
        <v>591</v>
      </c>
      <c r="AH13" s="155" t="s">
        <v>591</v>
      </c>
      <c r="AI13" s="155" t="s">
        <v>591</v>
      </c>
      <c r="AJ13" s="155" t="s">
        <v>591</v>
      </c>
      <c r="AK13" s="155" t="s">
        <v>591</v>
      </c>
      <c r="AL13" s="155" t="s">
        <v>591</v>
      </c>
      <c r="AM13" s="155" t="s">
        <v>591</v>
      </c>
      <c r="AN13" s="155" t="s">
        <v>591</v>
      </c>
      <c r="AO13" s="155" t="s">
        <v>591</v>
      </c>
      <c r="AP13" s="155" t="s">
        <v>591</v>
      </c>
      <c r="AQ13" s="155" t="s">
        <v>591</v>
      </c>
      <c r="AR13" s="155" t="s">
        <v>591</v>
      </c>
      <c r="AS13" s="155" t="s">
        <v>591</v>
      </c>
      <c r="AT13" s="155" t="s">
        <v>591</v>
      </c>
      <c r="AU13" s="155" t="s">
        <v>591</v>
      </c>
      <c r="AV13" s="155" t="s">
        <v>591</v>
      </c>
      <c r="AW13" s="155" t="s">
        <v>591</v>
      </c>
      <c r="AX13" s="155" t="s">
        <v>591</v>
      </c>
      <c r="AY13" s="155" t="s">
        <v>591</v>
      </c>
      <c r="AZ13" s="155" t="s">
        <v>591</v>
      </c>
      <c r="BA13" s="155" t="s">
        <v>591</v>
      </c>
      <c r="BB13" s="155" t="s">
        <v>591</v>
      </c>
      <c r="BC13" s="155" t="s">
        <v>591</v>
      </c>
      <c r="BD13" s="155" t="s">
        <v>591</v>
      </c>
      <c r="BE13" s="155" t="s">
        <v>591</v>
      </c>
      <c r="BF13" s="155" t="s">
        <v>591</v>
      </c>
      <c r="BG13" s="155" t="s">
        <v>591</v>
      </c>
      <c r="BH13" s="155" t="s">
        <v>591</v>
      </c>
      <c r="BI13" s="155" t="s">
        <v>591</v>
      </c>
      <c r="BJ13" s="155" t="s">
        <v>591</v>
      </c>
      <c r="BK13" s="155" t="s">
        <v>591</v>
      </c>
      <c r="BL13" s="155" t="s">
        <v>591</v>
      </c>
      <c r="BM13" s="155" t="s">
        <v>591</v>
      </c>
      <c r="BN13" s="155" t="s">
        <v>591</v>
      </c>
      <c r="BO13" s="155" t="s">
        <v>591</v>
      </c>
      <c r="BP13" s="155" t="s">
        <v>591</v>
      </c>
      <c r="BQ13" s="155" t="s">
        <v>591</v>
      </c>
      <c r="BR13" s="155" t="s">
        <v>591</v>
      </c>
      <c r="BS13" s="155" t="s">
        <v>591</v>
      </c>
      <c r="BT13" s="155" t="s">
        <v>591</v>
      </c>
      <c r="BU13" s="155" t="s">
        <v>591</v>
      </c>
      <c r="BV13" s="155" t="s">
        <v>591</v>
      </c>
      <c r="BW13" s="155" t="s">
        <v>591</v>
      </c>
      <c r="BX13" s="155" t="s">
        <v>591</v>
      </c>
      <c r="BY13" s="155" t="s">
        <v>591</v>
      </c>
      <c r="BZ13" s="155" t="s">
        <v>591</v>
      </c>
      <c r="CA13" s="155" t="s">
        <v>591</v>
      </c>
      <c r="CB13" s="155" t="s">
        <v>591</v>
      </c>
      <c r="CC13" s="155" t="s">
        <v>591</v>
      </c>
      <c r="CD13" s="155" t="s">
        <v>591</v>
      </c>
    </row>
    <row r="14" spans="1:82" s="125" customFormat="1" ht="56.25" x14ac:dyDescent="0.25">
      <c r="A14" s="128">
        <v>43654</v>
      </c>
      <c r="B14" s="145" t="s">
        <v>336</v>
      </c>
      <c r="C14" s="129" t="s">
        <v>100</v>
      </c>
      <c r="D14" s="129" t="s">
        <v>23</v>
      </c>
      <c r="E14" s="129" t="s">
        <v>47</v>
      </c>
      <c r="F14" s="129" t="s">
        <v>278</v>
      </c>
      <c r="G14" s="129" t="s">
        <v>278</v>
      </c>
      <c r="H14" s="130">
        <v>1088.0999999999999</v>
      </c>
      <c r="I14" s="130">
        <f>1088.1+1216.8</f>
        <v>2304.8999999999996</v>
      </c>
      <c r="J14" s="170" t="s">
        <v>74</v>
      </c>
      <c r="K14" s="129" t="s">
        <v>118</v>
      </c>
      <c r="L14" s="129" t="s">
        <v>117</v>
      </c>
      <c r="M14" s="129" t="s">
        <v>99</v>
      </c>
      <c r="N14" s="129" t="s">
        <v>119</v>
      </c>
      <c r="O14" s="155" t="s">
        <v>591</v>
      </c>
      <c r="P14" s="155" t="s">
        <v>591</v>
      </c>
      <c r="Q14" s="155" t="s">
        <v>591</v>
      </c>
      <c r="R14" s="155" t="s">
        <v>591</v>
      </c>
      <c r="S14" s="155" t="s">
        <v>591</v>
      </c>
      <c r="T14" s="155" t="s">
        <v>591</v>
      </c>
      <c r="U14" s="155" t="s">
        <v>591</v>
      </c>
      <c r="V14" s="155" t="s">
        <v>591</v>
      </c>
      <c r="W14" s="155" t="s">
        <v>591</v>
      </c>
      <c r="X14" s="155" t="s">
        <v>591</v>
      </c>
      <c r="Y14" s="155" t="s">
        <v>591</v>
      </c>
      <c r="Z14" s="155" t="s">
        <v>591</v>
      </c>
      <c r="AA14" s="155" t="s">
        <v>591</v>
      </c>
      <c r="AB14" s="155" t="s">
        <v>591</v>
      </c>
      <c r="AC14" s="155" t="s">
        <v>591</v>
      </c>
      <c r="AD14" s="155" t="s">
        <v>591</v>
      </c>
      <c r="AE14" s="155" t="s">
        <v>591</v>
      </c>
      <c r="AF14" s="155" t="s">
        <v>591</v>
      </c>
      <c r="AG14" s="155" t="s">
        <v>591</v>
      </c>
      <c r="AH14" s="155" t="s">
        <v>591</v>
      </c>
      <c r="AI14" s="155" t="s">
        <v>591</v>
      </c>
      <c r="AJ14" s="155" t="s">
        <v>591</v>
      </c>
      <c r="AK14" s="155" t="s">
        <v>591</v>
      </c>
      <c r="AL14" s="155" t="s">
        <v>591</v>
      </c>
      <c r="AM14" s="155" t="s">
        <v>591</v>
      </c>
      <c r="AN14" s="155" t="s">
        <v>591</v>
      </c>
      <c r="AO14" s="155" t="s">
        <v>591</v>
      </c>
      <c r="AP14" s="155" t="s">
        <v>591</v>
      </c>
      <c r="AQ14" s="155" t="s">
        <v>591</v>
      </c>
      <c r="AR14" s="155" t="s">
        <v>591</v>
      </c>
      <c r="AS14" s="155" t="s">
        <v>591</v>
      </c>
      <c r="AT14" s="155" t="s">
        <v>591</v>
      </c>
      <c r="AU14" s="155" t="s">
        <v>591</v>
      </c>
      <c r="AV14" s="155" t="s">
        <v>591</v>
      </c>
      <c r="AW14" s="155" t="s">
        <v>591</v>
      </c>
      <c r="AX14" s="155" t="s">
        <v>591</v>
      </c>
      <c r="AY14" s="155" t="s">
        <v>591</v>
      </c>
      <c r="AZ14" s="155" t="s">
        <v>591</v>
      </c>
      <c r="BA14" s="155" t="s">
        <v>591</v>
      </c>
      <c r="BB14" s="155" t="s">
        <v>591</v>
      </c>
      <c r="BC14" s="155" t="s">
        <v>591</v>
      </c>
      <c r="BD14" s="155" t="s">
        <v>591</v>
      </c>
      <c r="BE14" s="155" t="s">
        <v>591</v>
      </c>
      <c r="BF14" s="155" t="s">
        <v>591</v>
      </c>
      <c r="BG14" s="155" t="s">
        <v>591</v>
      </c>
      <c r="BH14" s="155" t="s">
        <v>591</v>
      </c>
      <c r="BI14" s="155" t="s">
        <v>591</v>
      </c>
      <c r="BJ14" s="155" t="s">
        <v>591</v>
      </c>
      <c r="BK14" s="155" t="s">
        <v>591</v>
      </c>
      <c r="BL14" s="155" t="s">
        <v>591</v>
      </c>
      <c r="BM14" s="155" t="s">
        <v>591</v>
      </c>
      <c r="BN14" s="155" t="s">
        <v>591</v>
      </c>
      <c r="BO14" s="155" t="s">
        <v>591</v>
      </c>
      <c r="BP14" s="155" t="s">
        <v>591</v>
      </c>
      <c r="BQ14" s="155" t="s">
        <v>591</v>
      </c>
      <c r="BR14" s="155" t="s">
        <v>591</v>
      </c>
      <c r="BS14" s="155" t="s">
        <v>591</v>
      </c>
      <c r="BT14" s="155" t="s">
        <v>591</v>
      </c>
      <c r="BU14" s="155" t="s">
        <v>591</v>
      </c>
      <c r="BV14" s="155" t="s">
        <v>591</v>
      </c>
      <c r="BW14" s="155" t="s">
        <v>591</v>
      </c>
      <c r="BX14" s="155" t="s">
        <v>591</v>
      </c>
      <c r="BY14" s="155" t="s">
        <v>591</v>
      </c>
      <c r="BZ14" s="155" t="s">
        <v>591</v>
      </c>
      <c r="CA14" s="155" t="s">
        <v>591</v>
      </c>
      <c r="CB14" s="155" t="s">
        <v>591</v>
      </c>
      <c r="CC14" s="155" t="s">
        <v>591</v>
      </c>
      <c r="CD14" s="155" t="s">
        <v>591</v>
      </c>
    </row>
    <row r="15" spans="1:82" s="126" customFormat="1" ht="48" customHeight="1" x14ac:dyDescent="0.25">
      <c r="A15" s="128">
        <v>43731</v>
      </c>
      <c r="B15" s="145" t="s">
        <v>335</v>
      </c>
      <c r="C15" s="129" t="s">
        <v>136</v>
      </c>
      <c r="D15" s="129" t="s">
        <v>141</v>
      </c>
      <c r="E15" s="129" t="s">
        <v>145</v>
      </c>
      <c r="F15" s="129" t="s">
        <v>277</v>
      </c>
      <c r="G15" s="129" t="s">
        <v>277</v>
      </c>
      <c r="H15" s="130">
        <v>1240</v>
      </c>
      <c r="I15" s="130">
        <f>930</f>
        <v>930</v>
      </c>
      <c r="J15" s="170" t="s">
        <v>74</v>
      </c>
      <c r="K15" s="129" t="s">
        <v>162</v>
      </c>
      <c r="L15" s="129" t="s">
        <v>308</v>
      </c>
      <c r="M15" s="129" t="s">
        <v>164</v>
      </c>
      <c r="N15" s="129" t="s">
        <v>165</v>
      </c>
      <c r="O15" s="155" t="s">
        <v>591</v>
      </c>
      <c r="P15" s="155" t="s">
        <v>591</v>
      </c>
      <c r="Q15" s="155" t="s">
        <v>591</v>
      </c>
      <c r="R15" s="155" t="s">
        <v>591</v>
      </c>
      <c r="S15" s="155" t="s">
        <v>591</v>
      </c>
      <c r="T15" s="155" t="s">
        <v>591</v>
      </c>
      <c r="U15" s="155" t="s">
        <v>591</v>
      </c>
      <c r="V15" s="155" t="s">
        <v>591</v>
      </c>
      <c r="W15" s="155" t="s">
        <v>591</v>
      </c>
      <c r="X15" s="155" t="s">
        <v>591</v>
      </c>
      <c r="Y15" s="155" t="s">
        <v>591</v>
      </c>
      <c r="Z15" s="155" t="s">
        <v>591</v>
      </c>
      <c r="AA15" s="155" t="s">
        <v>591</v>
      </c>
      <c r="AB15" s="155" t="s">
        <v>591</v>
      </c>
      <c r="AC15" s="155" t="s">
        <v>591</v>
      </c>
      <c r="AD15" s="155" t="s">
        <v>591</v>
      </c>
      <c r="AE15" s="155" t="s">
        <v>591</v>
      </c>
      <c r="AF15" s="155" t="s">
        <v>591</v>
      </c>
      <c r="AG15" s="155" t="s">
        <v>591</v>
      </c>
      <c r="AH15" s="155" t="s">
        <v>591</v>
      </c>
      <c r="AI15" s="155" t="s">
        <v>591</v>
      </c>
      <c r="AJ15" s="155" t="s">
        <v>591</v>
      </c>
      <c r="AK15" s="155" t="s">
        <v>591</v>
      </c>
      <c r="AL15" s="155" t="s">
        <v>591</v>
      </c>
      <c r="AM15" s="155" t="s">
        <v>591</v>
      </c>
      <c r="AN15" s="155" t="s">
        <v>591</v>
      </c>
      <c r="AO15" s="155" t="s">
        <v>591</v>
      </c>
      <c r="AP15" s="155" t="s">
        <v>591</v>
      </c>
      <c r="AQ15" s="155" t="s">
        <v>591</v>
      </c>
      <c r="AR15" s="155" t="s">
        <v>591</v>
      </c>
      <c r="AS15" s="155" t="s">
        <v>591</v>
      </c>
      <c r="AT15" s="155" t="s">
        <v>591</v>
      </c>
      <c r="AU15" s="155" t="s">
        <v>591</v>
      </c>
      <c r="AV15" s="155" t="s">
        <v>591</v>
      </c>
      <c r="AW15" s="155" t="s">
        <v>591</v>
      </c>
      <c r="AX15" s="155" t="s">
        <v>591</v>
      </c>
      <c r="AY15" s="155" t="s">
        <v>591</v>
      </c>
      <c r="AZ15" s="155" t="s">
        <v>591</v>
      </c>
      <c r="BA15" s="155" t="s">
        <v>591</v>
      </c>
      <c r="BB15" s="155" t="s">
        <v>591</v>
      </c>
      <c r="BC15" s="155" t="s">
        <v>591</v>
      </c>
      <c r="BD15" s="155" t="s">
        <v>591</v>
      </c>
      <c r="BE15" s="155" t="s">
        <v>591</v>
      </c>
      <c r="BF15" s="155" t="s">
        <v>591</v>
      </c>
      <c r="BG15" s="155" t="s">
        <v>591</v>
      </c>
      <c r="BH15" s="155" t="s">
        <v>591</v>
      </c>
      <c r="BI15" s="155" t="s">
        <v>591</v>
      </c>
      <c r="BJ15" s="155" t="s">
        <v>591</v>
      </c>
      <c r="BK15" s="155" t="s">
        <v>591</v>
      </c>
      <c r="BL15" s="155" t="s">
        <v>591</v>
      </c>
      <c r="BM15" s="155" t="s">
        <v>591</v>
      </c>
      <c r="BN15" s="155" t="s">
        <v>591</v>
      </c>
      <c r="BO15" s="155" t="s">
        <v>591</v>
      </c>
      <c r="BP15" s="155" t="s">
        <v>591</v>
      </c>
      <c r="BQ15" s="155" t="s">
        <v>591</v>
      </c>
      <c r="BR15" s="155" t="s">
        <v>591</v>
      </c>
      <c r="BS15" s="155" t="s">
        <v>591</v>
      </c>
      <c r="BT15" s="155" t="s">
        <v>591</v>
      </c>
      <c r="BU15" s="155" t="s">
        <v>591</v>
      </c>
      <c r="BV15" s="155" t="s">
        <v>591</v>
      </c>
      <c r="BW15" s="155" t="s">
        <v>591</v>
      </c>
      <c r="BX15" s="155" t="s">
        <v>591</v>
      </c>
      <c r="BY15" s="155" t="s">
        <v>591</v>
      </c>
      <c r="BZ15" s="155" t="s">
        <v>591</v>
      </c>
      <c r="CA15" s="155" t="s">
        <v>591</v>
      </c>
      <c r="CB15" s="155" t="s">
        <v>591</v>
      </c>
      <c r="CC15" s="155" t="s">
        <v>591</v>
      </c>
      <c r="CD15" s="155" t="s">
        <v>591</v>
      </c>
    </row>
    <row r="16" spans="1:82" s="149" customFormat="1" ht="56.25" x14ac:dyDescent="0.25">
      <c r="A16" s="128">
        <v>43773</v>
      </c>
      <c r="B16" s="145" t="s">
        <v>328</v>
      </c>
      <c r="C16" s="129" t="s">
        <v>206</v>
      </c>
      <c r="D16" s="129" t="s">
        <v>223</v>
      </c>
      <c r="E16" s="129" t="s">
        <v>242</v>
      </c>
      <c r="F16" s="173" t="s">
        <v>589</v>
      </c>
      <c r="G16" s="129" t="s">
        <v>270</v>
      </c>
      <c r="H16" s="148">
        <v>0</v>
      </c>
      <c r="I16" s="130">
        <f>1660+2576.8+2761.2+2723.4+3228.8+3220.22+2459.8</f>
        <v>18630.22</v>
      </c>
      <c r="J16" s="170" t="s">
        <v>74</v>
      </c>
      <c r="K16" s="129" t="s">
        <v>371</v>
      </c>
      <c r="L16" s="129" t="s">
        <v>372</v>
      </c>
      <c r="M16" s="129" t="s">
        <v>582</v>
      </c>
      <c r="N16" s="157" t="s">
        <v>373</v>
      </c>
      <c r="O16" s="129" t="s">
        <v>374</v>
      </c>
      <c r="P16" s="129" t="s">
        <v>375</v>
      </c>
      <c r="Q16" s="129" t="s">
        <v>206</v>
      </c>
      <c r="R16" s="157" t="s">
        <v>376</v>
      </c>
      <c r="S16" s="129" t="s">
        <v>377</v>
      </c>
      <c r="T16" s="129" t="s">
        <v>378</v>
      </c>
      <c r="U16" s="155" t="s">
        <v>591</v>
      </c>
      <c r="V16" s="155" t="s">
        <v>591</v>
      </c>
      <c r="W16" s="155" t="s">
        <v>591</v>
      </c>
      <c r="X16" s="155" t="s">
        <v>591</v>
      </c>
      <c r="Y16" s="155" t="s">
        <v>591</v>
      </c>
      <c r="Z16" s="155" t="s">
        <v>591</v>
      </c>
      <c r="AA16" s="155" t="s">
        <v>591</v>
      </c>
      <c r="AB16" s="155" t="s">
        <v>591</v>
      </c>
      <c r="AC16" s="155" t="s">
        <v>591</v>
      </c>
      <c r="AD16" s="155" t="s">
        <v>591</v>
      </c>
      <c r="AE16" s="155" t="s">
        <v>591</v>
      </c>
      <c r="AF16" s="155" t="s">
        <v>591</v>
      </c>
      <c r="AG16" s="155" t="s">
        <v>591</v>
      </c>
      <c r="AH16" s="155" t="s">
        <v>591</v>
      </c>
      <c r="AI16" s="155" t="s">
        <v>591</v>
      </c>
      <c r="AJ16" s="155" t="s">
        <v>591</v>
      </c>
      <c r="AK16" s="155" t="s">
        <v>591</v>
      </c>
      <c r="AL16" s="155" t="s">
        <v>591</v>
      </c>
      <c r="AM16" s="155" t="s">
        <v>591</v>
      </c>
      <c r="AN16" s="155" t="s">
        <v>591</v>
      </c>
      <c r="AO16" s="155" t="s">
        <v>591</v>
      </c>
      <c r="AP16" s="155" t="s">
        <v>591</v>
      </c>
      <c r="AQ16" s="155" t="s">
        <v>591</v>
      </c>
      <c r="AR16" s="155" t="s">
        <v>591</v>
      </c>
      <c r="AS16" s="155" t="s">
        <v>591</v>
      </c>
      <c r="AT16" s="155" t="s">
        <v>591</v>
      </c>
      <c r="AU16" s="155" t="s">
        <v>591</v>
      </c>
      <c r="AV16" s="155" t="s">
        <v>591</v>
      </c>
      <c r="AW16" s="155" t="s">
        <v>591</v>
      </c>
      <c r="AX16" s="155" t="s">
        <v>591</v>
      </c>
      <c r="AY16" s="155" t="s">
        <v>591</v>
      </c>
      <c r="AZ16" s="155" t="s">
        <v>591</v>
      </c>
      <c r="BA16" s="155" t="s">
        <v>591</v>
      </c>
      <c r="BB16" s="155" t="s">
        <v>591</v>
      </c>
      <c r="BC16" s="155" t="s">
        <v>591</v>
      </c>
      <c r="BD16" s="155" t="s">
        <v>591</v>
      </c>
      <c r="BE16" s="155" t="s">
        <v>591</v>
      </c>
      <c r="BF16" s="155" t="s">
        <v>591</v>
      </c>
      <c r="BG16" s="155" t="s">
        <v>591</v>
      </c>
      <c r="BH16" s="155" t="s">
        <v>591</v>
      </c>
      <c r="BI16" s="155" t="s">
        <v>591</v>
      </c>
      <c r="BJ16" s="155" t="s">
        <v>591</v>
      </c>
      <c r="BK16" s="155" t="s">
        <v>591</v>
      </c>
      <c r="BL16" s="155" t="s">
        <v>591</v>
      </c>
      <c r="BM16" s="155" t="s">
        <v>591</v>
      </c>
      <c r="BN16" s="155" t="s">
        <v>591</v>
      </c>
      <c r="BO16" s="155" t="s">
        <v>591</v>
      </c>
      <c r="BP16" s="155" t="s">
        <v>591</v>
      </c>
      <c r="BQ16" s="155" t="s">
        <v>591</v>
      </c>
      <c r="BR16" s="155" t="s">
        <v>591</v>
      </c>
      <c r="BS16" s="155" t="s">
        <v>591</v>
      </c>
      <c r="BT16" s="155" t="s">
        <v>591</v>
      </c>
      <c r="BU16" s="155" t="s">
        <v>591</v>
      </c>
      <c r="BV16" s="155" t="s">
        <v>591</v>
      </c>
      <c r="BW16" s="155" t="s">
        <v>591</v>
      </c>
      <c r="BX16" s="155" t="s">
        <v>591</v>
      </c>
      <c r="BY16" s="155" t="s">
        <v>591</v>
      </c>
      <c r="BZ16" s="155" t="s">
        <v>591</v>
      </c>
      <c r="CA16" s="155" t="s">
        <v>591</v>
      </c>
      <c r="CB16" s="155" t="s">
        <v>591</v>
      </c>
      <c r="CC16" s="155" t="s">
        <v>591</v>
      </c>
      <c r="CD16" s="155" t="s">
        <v>591</v>
      </c>
    </row>
    <row r="17" spans="1:82" s="2" customFormat="1" ht="33.75" x14ac:dyDescent="0.25">
      <c r="A17" s="128">
        <v>43818</v>
      </c>
      <c r="B17" s="145" t="s">
        <v>329</v>
      </c>
      <c r="C17" s="129" t="s">
        <v>207</v>
      </c>
      <c r="D17" s="129" t="s">
        <v>224</v>
      </c>
      <c r="E17" s="129" t="s">
        <v>243</v>
      </c>
      <c r="F17" s="173" t="s">
        <v>589</v>
      </c>
      <c r="G17" s="129" t="s">
        <v>271</v>
      </c>
      <c r="H17" s="148">
        <v>0</v>
      </c>
      <c r="I17" s="130">
        <f>2478+2478+2478+2478</f>
        <v>9912</v>
      </c>
      <c r="J17" s="170" t="s">
        <v>74</v>
      </c>
      <c r="K17" s="129" t="s">
        <v>298</v>
      </c>
      <c r="L17" s="129" t="s">
        <v>299</v>
      </c>
      <c r="M17" s="129" t="s">
        <v>300</v>
      </c>
      <c r="N17" s="129" t="s">
        <v>301</v>
      </c>
      <c r="O17" s="155" t="s">
        <v>591</v>
      </c>
      <c r="P17" s="155" t="s">
        <v>591</v>
      </c>
      <c r="Q17" s="155" t="s">
        <v>591</v>
      </c>
      <c r="R17" s="155" t="s">
        <v>591</v>
      </c>
      <c r="S17" s="155" t="s">
        <v>591</v>
      </c>
      <c r="T17" s="155" t="s">
        <v>591</v>
      </c>
      <c r="U17" s="155" t="s">
        <v>591</v>
      </c>
      <c r="V17" s="155" t="s">
        <v>591</v>
      </c>
      <c r="W17" s="155" t="s">
        <v>591</v>
      </c>
      <c r="X17" s="155" t="s">
        <v>591</v>
      </c>
      <c r="Y17" s="155" t="s">
        <v>591</v>
      </c>
      <c r="Z17" s="155" t="s">
        <v>591</v>
      </c>
      <c r="AA17" s="155" t="s">
        <v>591</v>
      </c>
      <c r="AB17" s="155" t="s">
        <v>591</v>
      </c>
      <c r="AC17" s="155" t="s">
        <v>591</v>
      </c>
      <c r="AD17" s="155" t="s">
        <v>591</v>
      </c>
      <c r="AE17" s="155" t="s">
        <v>591</v>
      </c>
      <c r="AF17" s="155" t="s">
        <v>591</v>
      </c>
      <c r="AG17" s="155" t="s">
        <v>591</v>
      </c>
      <c r="AH17" s="155" t="s">
        <v>591</v>
      </c>
      <c r="AI17" s="155" t="s">
        <v>591</v>
      </c>
      <c r="AJ17" s="155" t="s">
        <v>591</v>
      </c>
      <c r="AK17" s="155" t="s">
        <v>591</v>
      </c>
      <c r="AL17" s="155" t="s">
        <v>591</v>
      </c>
      <c r="AM17" s="155" t="s">
        <v>591</v>
      </c>
      <c r="AN17" s="155" t="s">
        <v>591</v>
      </c>
      <c r="AO17" s="155" t="s">
        <v>591</v>
      </c>
      <c r="AP17" s="155" t="s">
        <v>591</v>
      </c>
      <c r="AQ17" s="155" t="s">
        <v>591</v>
      </c>
      <c r="AR17" s="155" t="s">
        <v>591</v>
      </c>
      <c r="AS17" s="155" t="s">
        <v>591</v>
      </c>
      <c r="AT17" s="155" t="s">
        <v>591</v>
      </c>
      <c r="AU17" s="155" t="s">
        <v>591</v>
      </c>
      <c r="AV17" s="155" t="s">
        <v>591</v>
      </c>
      <c r="AW17" s="155" t="s">
        <v>591</v>
      </c>
      <c r="AX17" s="155" t="s">
        <v>591</v>
      </c>
      <c r="AY17" s="155" t="s">
        <v>591</v>
      </c>
      <c r="AZ17" s="155" t="s">
        <v>591</v>
      </c>
      <c r="BA17" s="155" t="s">
        <v>591</v>
      </c>
      <c r="BB17" s="155" t="s">
        <v>591</v>
      </c>
      <c r="BC17" s="155" t="s">
        <v>591</v>
      </c>
      <c r="BD17" s="155" t="s">
        <v>591</v>
      </c>
      <c r="BE17" s="155" t="s">
        <v>591</v>
      </c>
      <c r="BF17" s="155" t="s">
        <v>591</v>
      </c>
      <c r="BG17" s="155" t="s">
        <v>591</v>
      </c>
      <c r="BH17" s="155" t="s">
        <v>591</v>
      </c>
      <c r="BI17" s="155" t="s">
        <v>591</v>
      </c>
      <c r="BJ17" s="155" t="s">
        <v>591</v>
      </c>
      <c r="BK17" s="155" t="s">
        <v>591</v>
      </c>
      <c r="BL17" s="155" t="s">
        <v>591</v>
      </c>
      <c r="BM17" s="155" t="s">
        <v>591</v>
      </c>
      <c r="BN17" s="155" t="s">
        <v>591</v>
      </c>
      <c r="BO17" s="155" t="s">
        <v>591</v>
      </c>
      <c r="BP17" s="155" t="s">
        <v>591</v>
      </c>
      <c r="BQ17" s="155" t="s">
        <v>591</v>
      </c>
      <c r="BR17" s="155" t="s">
        <v>591</v>
      </c>
      <c r="BS17" s="155" t="s">
        <v>591</v>
      </c>
      <c r="BT17" s="155" t="s">
        <v>591</v>
      </c>
      <c r="BU17" s="155" t="s">
        <v>591</v>
      </c>
      <c r="BV17" s="155" t="s">
        <v>591</v>
      </c>
      <c r="BW17" s="155" t="s">
        <v>591</v>
      </c>
      <c r="BX17" s="155" t="s">
        <v>591</v>
      </c>
      <c r="BY17" s="155" t="s">
        <v>591</v>
      </c>
      <c r="BZ17" s="155" t="s">
        <v>591</v>
      </c>
      <c r="CA17" s="155" t="s">
        <v>591</v>
      </c>
      <c r="CB17" s="155" t="s">
        <v>591</v>
      </c>
      <c r="CC17" s="155" t="s">
        <v>591</v>
      </c>
      <c r="CD17" s="155" t="s">
        <v>591</v>
      </c>
    </row>
    <row r="18" spans="1:82" s="2" customFormat="1" ht="50.1" customHeight="1" x14ac:dyDescent="0.25">
      <c r="A18" s="127">
        <v>43878</v>
      </c>
      <c r="B18" s="145" t="s">
        <v>330</v>
      </c>
      <c r="C18" s="129" t="s">
        <v>103</v>
      </c>
      <c r="D18" s="129" t="s">
        <v>14</v>
      </c>
      <c r="E18" s="129" t="s">
        <v>244</v>
      </c>
      <c r="F18" s="173" t="s">
        <v>589</v>
      </c>
      <c r="G18" s="129" t="s">
        <v>272</v>
      </c>
      <c r="H18" s="148">
        <v>0</v>
      </c>
      <c r="I18" s="130">
        <f>4462.64*3</f>
        <v>13387.920000000002</v>
      </c>
      <c r="J18" s="170" t="s">
        <v>74</v>
      </c>
      <c r="K18" s="129" t="s">
        <v>102</v>
      </c>
      <c r="L18" s="129" t="s">
        <v>286</v>
      </c>
      <c r="M18" s="155" t="s">
        <v>591</v>
      </c>
      <c r="N18" s="155" t="s">
        <v>591</v>
      </c>
      <c r="O18" s="155" t="s">
        <v>591</v>
      </c>
      <c r="P18" s="155" t="s">
        <v>591</v>
      </c>
      <c r="Q18" s="155" t="s">
        <v>591</v>
      </c>
      <c r="R18" s="155" t="s">
        <v>591</v>
      </c>
      <c r="S18" s="155" t="s">
        <v>591</v>
      </c>
      <c r="T18" s="155" t="s">
        <v>591</v>
      </c>
      <c r="U18" s="155" t="s">
        <v>591</v>
      </c>
      <c r="V18" s="155" t="s">
        <v>591</v>
      </c>
      <c r="W18" s="155" t="s">
        <v>591</v>
      </c>
      <c r="X18" s="155" t="s">
        <v>591</v>
      </c>
      <c r="Y18" s="155" t="s">
        <v>591</v>
      </c>
      <c r="Z18" s="155" t="s">
        <v>591</v>
      </c>
      <c r="AA18" s="155" t="s">
        <v>591</v>
      </c>
      <c r="AB18" s="155" t="s">
        <v>591</v>
      </c>
      <c r="AC18" s="155" t="s">
        <v>591</v>
      </c>
      <c r="AD18" s="155" t="s">
        <v>591</v>
      </c>
      <c r="AE18" s="155" t="s">
        <v>591</v>
      </c>
      <c r="AF18" s="155" t="s">
        <v>591</v>
      </c>
      <c r="AG18" s="155" t="s">
        <v>591</v>
      </c>
      <c r="AH18" s="155" t="s">
        <v>591</v>
      </c>
      <c r="AI18" s="155" t="s">
        <v>591</v>
      </c>
      <c r="AJ18" s="155" t="s">
        <v>591</v>
      </c>
      <c r="AK18" s="155" t="s">
        <v>591</v>
      </c>
      <c r="AL18" s="155" t="s">
        <v>591</v>
      </c>
      <c r="AM18" s="155" t="s">
        <v>591</v>
      </c>
      <c r="AN18" s="155" t="s">
        <v>591</v>
      </c>
      <c r="AO18" s="155" t="s">
        <v>591</v>
      </c>
      <c r="AP18" s="155" t="s">
        <v>591</v>
      </c>
      <c r="AQ18" s="155" t="s">
        <v>591</v>
      </c>
      <c r="AR18" s="155" t="s">
        <v>591</v>
      </c>
      <c r="AS18" s="155" t="s">
        <v>591</v>
      </c>
      <c r="AT18" s="155" t="s">
        <v>591</v>
      </c>
      <c r="AU18" s="155" t="s">
        <v>591</v>
      </c>
      <c r="AV18" s="155" t="s">
        <v>591</v>
      </c>
      <c r="AW18" s="155" t="s">
        <v>591</v>
      </c>
      <c r="AX18" s="155" t="s">
        <v>591</v>
      </c>
      <c r="AY18" s="155" t="s">
        <v>591</v>
      </c>
      <c r="AZ18" s="155" t="s">
        <v>591</v>
      </c>
      <c r="BA18" s="155" t="s">
        <v>591</v>
      </c>
      <c r="BB18" s="155" t="s">
        <v>591</v>
      </c>
      <c r="BC18" s="155" t="s">
        <v>591</v>
      </c>
      <c r="BD18" s="155" t="s">
        <v>591</v>
      </c>
      <c r="BE18" s="155" t="s">
        <v>591</v>
      </c>
      <c r="BF18" s="155" t="s">
        <v>591</v>
      </c>
      <c r="BG18" s="155" t="s">
        <v>591</v>
      </c>
      <c r="BH18" s="155" t="s">
        <v>591</v>
      </c>
      <c r="BI18" s="155" t="s">
        <v>591</v>
      </c>
      <c r="BJ18" s="155" t="s">
        <v>591</v>
      </c>
      <c r="BK18" s="155" t="s">
        <v>591</v>
      </c>
      <c r="BL18" s="155" t="s">
        <v>591</v>
      </c>
      <c r="BM18" s="155" t="s">
        <v>591</v>
      </c>
      <c r="BN18" s="155" t="s">
        <v>591</v>
      </c>
      <c r="BO18" s="155" t="s">
        <v>591</v>
      </c>
      <c r="BP18" s="155" t="s">
        <v>591</v>
      </c>
      <c r="BQ18" s="155" t="s">
        <v>591</v>
      </c>
      <c r="BR18" s="155" t="s">
        <v>591</v>
      </c>
      <c r="BS18" s="155" t="s">
        <v>591</v>
      </c>
      <c r="BT18" s="155" t="s">
        <v>591</v>
      </c>
      <c r="BU18" s="155" t="s">
        <v>591</v>
      </c>
      <c r="BV18" s="155" t="s">
        <v>591</v>
      </c>
      <c r="BW18" s="155" t="s">
        <v>591</v>
      </c>
      <c r="BX18" s="155" t="s">
        <v>591</v>
      </c>
      <c r="BY18" s="155" t="s">
        <v>591</v>
      </c>
      <c r="BZ18" s="155" t="s">
        <v>591</v>
      </c>
      <c r="CA18" s="155" t="s">
        <v>591</v>
      </c>
      <c r="CB18" s="155" t="s">
        <v>591</v>
      </c>
      <c r="CC18" s="155" t="s">
        <v>591</v>
      </c>
      <c r="CD18" s="155" t="s">
        <v>591</v>
      </c>
    </row>
    <row r="19" spans="1:82" s="2" customFormat="1" ht="50.1" customHeight="1" x14ac:dyDescent="0.25">
      <c r="A19" s="128">
        <v>43880</v>
      </c>
      <c r="B19" s="145" t="s">
        <v>331</v>
      </c>
      <c r="C19" s="129" t="s">
        <v>208</v>
      </c>
      <c r="D19" s="129" t="s">
        <v>225</v>
      </c>
      <c r="E19" s="129" t="s">
        <v>245</v>
      </c>
      <c r="F19" s="173" t="s">
        <v>589</v>
      </c>
      <c r="G19" s="129" t="s">
        <v>273</v>
      </c>
      <c r="H19" s="148">
        <v>0</v>
      </c>
      <c r="I19" s="130">
        <f>913.16</f>
        <v>913.16</v>
      </c>
      <c r="J19" s="170" t="s">
        <v>74</v>
      </c>
      <c r="K19" s="129" t="s">
        <v>302</v>
      </c>
      <c r="L19" s="129" t="s">
        <v>303</v>
      </c>
      <c r="M19" s="129" t="s">
        <v>304</v>
      </c>
      <c r="N19" s="129" t="s">
        <v>305</v>
      </c>
      <c r="O19" s="155" t="s">
        <v>591</v>
      </c>
      <c r="P19" s="155" t="s">
        <v>591</v>
      </c>
      <c r="Q19" s="155" t="s">
        <v>591</v>
      </c>
      <c r="R19" s="155" t="s">
        <v>591</v>
      </c>
      <c r="S19" s="155" t="s">
        <v>591</v>
      </c>
      <c r="T19" s="155" t="s">
        <v>591</v>
      </c>
      <c r="U19" s="155" t="s">
        <v>591</v>
      </c>
      <c r="V19" s="155" t="s">
        <v>591</v>
      </c>
      <c r="W19" s="155" t="s">
        <v>591</v>
      </c>
      <c r="X19" s="155" t="s">
        <v>591</v>
      </c>
      <c r="Y19" s="155" t="s">
        <v>591</v>
      </c>
      <c r="Z19" s="155" t="s">
        <v>591</v>
      </c>
      <c r="AA19" s="155" t="s">
        <v>591</v>
      </c>
      <c r="AB19" s="155" t="s">
        <v>591</v>
      </c>
      <c r="AC19" s="155" t="s">
        <v>591</v>
      </c>
      <c r="AD19" s="155" t="s">
        <v>591</v>
      </c>
      <c r="AE19" s="155" t="s">
        <v>591</v>
      </c>
      <c r="AF19" s="155" t="s">
        <v>591</v>
      </c>
      <c r="AG19" s="155" t="s">
        <v>591</v>
      </c>
      <c r="AH19" s="155" t="s">
        <v>591</v>
      </c>
      <c r="AI19" s="155" t="s">
        <v>591</v>
      </c>
      <c r="AJ19" s="155" t="s">
        <v>591</v>
      </c>
      <c r="AK19" s="155" t="s">
        <v>591</v>
      </c>
      <c r="AL19" s="155" t="s">
        <v>591</v>
      </c>
      <c r="AM19" s="155" t="s">
        <v>591</v>
      </c>
      <c r="AN19" s="155" t="s">
        <v>591</v>
      </c>
      <c r="AO19" s="155" t="s">
        <v>591</v>
      </c>
      <c r="AP19" s="155" t="s">
        <v>591</v>
      </c>
      <c r="AQ19" s="155" t="s">
        <v>591</v>
      </c>
      <c r="AR19" s="155" t="s">
        <v>591</v>
      </c>
      <c r="AS19" s="155" t="s">
        <v>591</v>
      </c>
      <c r="AT19" s="155" t="s">
        <v>591</v>
      </c>
      <c r="AU19" s="155" t="s">
        <v>591</v>
      </c>
      <c r="AV19" s="155" t="s">
        <v>591</v>
      </c>
      <c r="AW19" s="155" t="s">
        <v>591</v>
      </c>
      <c r="AX19" s="155" t="s">
        <v>591</v>
      </c>
      <c r="AY19" s="155" t="s">
        <v>591</v>
      </c>
      <c r="AZ19" s="155" t="s">
        <v>591</v>
      </c>
      <c r="BA19" s="155" t="s">
        <v>591</v>
      </c>
      <c r="BB19" s="155" t="s">
        <v>591</v>
      </c>
      <c r="BC19" s="155" t="s">
        <v>591</v>
      </c>
      <c r="BD19" s="155" t="s">
        <v>591</v>
      </c>
      <c r="BE19" s="155" t="s">
        <v>591</v>
      </c>
      <c r="BF19" s="155" t="s">
        <v>591</v>
      </c>
      <c r="BG19" s="155" t="s">
        <v>591</v>
      </c>
      <c r="BH19" s="155" t="s">
        <v>591</v>
      </c>
      <c r="BI19" s="155" t="s">
        <v>591</v>
      </c>
      <c r="BJ19" s="155" t="s">
        <v>591</v>
      </c>
      <c r="BK19" s="155" t="s">
        <v>591</v>
      </c>
      <c r="BL19" s="155" t="s">
        <v>591</v>
      </c>
      <c r="BM19" s="155" t="s">
        <v>591</v>
      </c>
      <c r="BN19" s="155" t="s">
        <v>591</v>
      </c>
      <c r="BO19" s="155" t="s">
        <v>591</v>
      </c>
      <c r="BP19" s="155" t="s">
        <v>591</v>
      </c>
      <c r="BQ19" s="155" t="s">
        <v>591</v>
      </c>
      <c r="BR19" s="155" t="s">
        <v>591</v>
      </c>
      <c r="BS19" s="155" t="s">
        <v>591</v>
      </c>
      <c r="BT19" s="155" t="s">
        <v>591</v>
      </c>
      <c r="BU19" s="155" t="s">
        <v>591</v>
      </c>
      <c r="BV19" s="155" t="s">
        <v>591</v>
      </c>
      <c r="BW19" s="155" t="s">
        <v>591</v>
      </c>
      <c r="BX19" s="155" t="s">
        <v>591</v>
      </c>
      <c r="BY19" s="155" t="s">
        <v>591</v>
      </c>
      <c r="BZ19" s="155" t="s">
        <v>591</v>
      </c>
      <c r="CA19" s="155" t="s">
        <v>591</v>
      </c>
      <c r="CB19" s="155" t="s">
        <v>591</v>
      </c>
      <c r="CC19" s="155" t="s">
        <v>591</v>
      </c>
      <c r="CD19" s="155" t="s">
        <v>591</v>
      </c>
    </row>
    <row r="20" spans="1:82" s="2" customFormat="1" ht="50.1" customHeight="1" x14ac:dyDescent="0.25">
      <c r="A20" s="127">
        <v>43899</v>
      </c>
      <c r="B20" s="145" t="s">
        <v>332</v>
      </c>
      <c r="C20" s="129" t="s">
        <v>209</v>
      </c>
      <c r="D20" s="129" t="s">
        <v>226</v>
      </c>
      <c r="E20" s="129" t="s">
        <v>246</v>
      </c>
      <c r="F20" s="173" t="s">
        <v>589</v>
      </c>
      <c r="G20" s="129" t="s">
        <v>274</v>
      </c>
      <c r="H20" s="148">
        <v>0</v>
      </c>
      <c r="I20" s="130">
        <f>2062.5+2062.5+2062.5</f>
        <v>6187.5</v>
      </c>
      <c r="J20" s="170" t="s">
        <v>74</v>
      </c>
      <c r="K20" s="129" t="s">
        <v>306</v>
      </c>
      <c r="L20" s="129" t="s">
        <v>307</v>
      </c>
      <c r="M20" s="155" t="s">
        <v>591</v>
      </c>
      <c r="N20" s="155" t="s">
        <v>591</v>
      </c>
      <c r="O20" s="155" t="s">
        <v>591</v>
      </c>
      <c r="P20" s="155" t="s">
        <v>591</v>
      </c>
      <c r="Q20" s="155" t="s">
        <v>591</v>
      </c>
      <c r="R20" s="155" t="s">
        <v>591</v>
      </c>
      <c r="S20" s="155" t="s">
        <v>591</v>
      </c>
      <c r="T20" s="155" t="s">
        <v>591</v>
      </c>
      <c r="U20" s="155" t="s">
        <v>591</v>
      </c>
      <c r="V20" s="155" t="s">
        <v>591</v>
      </c>
      <c r="W20" s="155" t="s">
        <v>591</v>
      </c>
      <c r="X20" s="155" t="s">
        <v>591</v>
      </c>
      <c r="Y20" s="155" t="s">
        <v>591</v>
      </c>
      <c r="Z20" s="155" t="s">
        <v>591</v>
      </c>
      <c r="AA20" s="155" t="s">
        <v>591</v>
      </c>
      <c r="AB20" s="155" t="s">
        <v>591</v>
      </c>
      <c r="AC20" s="155" t="s">
        <v>591</v>
      </c>
      <c r="AD20" s="155" t="s">
        <v>591</v>
      </c>
      <c r="AE20" s="155" t="s">
        <v>591</v>
      </c>
      <c r="AF20" s="155" t="s">
        <v>591</v>
      </c>
      <c r="AG20" s="155" t="s">
        <v>591</v>
      </c>
      <c r="AH20" s="155" t="s">
        <v>591</v>
      </c>
      <c r="AI20" s="155" t="s">
        <v>591</v>
      </c>
      <c r="AJ20" s="155" t="s">
        <v>591</v>
      </c>
      <c r="AK20" s="155" t="s">
        <v>591</v>
      </c>
      <c r="AL20" s="155" t="s">
        <v>591</v>
      </c>
      <c r="AM20" s="155" t="s">
        <v>591</v>
      </c>
      <c r="AN20" s="155" t="s">
        <v>591</v>
      </c>
      <c r="AO20" s="155" t="s">
        <v>591</v>
      </c>
      <c r="AP20" s="155" t="s">
        <v>591</v>
      </c>
      <c r="AQ20" s="155" t="s">
        <v>591</v>
      </c>
      <c r="AR20" s="155" t="s">
        <v>591</v>
      </c>
      <c r="AS20" s="155" t="s">
        <v>591</v>
      </c>
      <c r="AT20" s="155" t="s">
        <v>591</v>
      </c>
      <c r="AU20" s="155" t="s">
        <v>591</v>
      </c>
      <c r="AV20" s="155" t="s">
        <v>591</v>
      </c>
      <c r="AW20" s="155" t="s">
        <v>591</v>
      </c>
      <c r="AX20" s="155" t="s">
        <v>591</v>
      </c>
      <c r="AY20" s="155" t="s">
        <v>591</v>
      </c>
      <c r="AZ20" s="155" t="s">
        <v>591</v>
      </c>
      <c r="BA20" s="155" t="s">
        <v>591</v>
      </c>
      <c r="BB20" s="155" t="s">
        <v>591</v>
      </c>
      <c r="BC20" s="155" t="s">
        <v>591</v>
      </c>
      <c r="BD20" s="155" t="s">
        <v>591</v>
      </c>
      <c r="BE20" s="155" t="s">
        <v>591</v>
      </c>
      <c r="BF20" s="155" t="s">
        <v>591</v>
      </c>
      <c r="BG20" s="155" t="s">
        <v>591</v>
      </c>
      <c r="BH20" s="155" t="s">
        <v>591</v>
      </c>
      <c r="BI20" s="155" t="s">
        <v>591</v>
      </c>
      <c r="BJ20" s="155" t="s">
        <v>591</v>
      </c>
      <c r="BK20" s="155" t="s">
        <v>591</v>
      </c>
      <c r="BL20" s="155" t="s">
        <v>591</v>
      </c>
      <c r="BM20" s="155" t="s">
        <v>591</v>
      </c>
      <c r="BN20" s="155" t="s">
        <v>591</v>
      </c>
      <c r="BO20" s="155" t="s">
        <v>591</v>
      </c>
      <c r="BP20" s="155" t="s">
        <v>591</v>
      </c>
      <c r="BQ20" s="155" t="s">
        <v>591</v>
      </c>
      <c r="BR20" s="155" t="s">
        <v>591</v>
      </c>
      <c r="BS20" s="155" t="s">
        <v>591</v>
      </c>
      <c r="BT20" s="155" t="s">
        <v>591</v>
      </c>
      <c r="BU20" s="155" t="s">
        <v>591</v>
      </c>
      <c r="BV20" s="155" t="s">
        <v>591</v>
      </c>
      <c r="BW20" s="155" t="s">
        <v>591</v>
      </c>
      <c r="BX20" s="155" t="s">
        <v>591</v>
      </c>
      <c r="BY20" s="155" t="s">
        <v>591</v>
      </c>
      <c r="BZ20" s="155" t="s">
        <v>591</v>
      </c>
      <c r="CA20" s="155" t="s">
        <v>591</v>
      </c>
      <c r="CB20" s="155" t="s">
        <v>591</v>
      </c>
      <c r="CC20" s="155" t="s">
        <v>591</v>
      </c>
      <c r="CD20" s="155" t="s">
        <v>591</v>
      </c>
    </row>
    <row r="21" spans="1:82" s="2" customFormat="1" ht="50.1" customHeight="1" x14ac:dyDescent="0.25">
      <c r="A21" s="127">
        <v>43371</v>
      </c>
      <c r="B21" s="145" t="s">
        <v>536</v>
      </c>
      <c r="C21" s="129" t="s">
        <v>101</v>
      </c>
      <c r="D21" s="129" t="s">
        <v>76</v>
      </c>
      <c r="E21" s="129" t="s">
        <v>77</v>
      </c>
      <c r="F21" s="157" t="s">
        <v>78</v>
      </c>
      <c r="G21" s="157" t="s">
        <v>266</v>
      </c>
      <c r="H21" s="159">
        <v>3213.7</v>
      </c>
      <c r="I21" s="159">
        <f>2019.72+1695.24+1794.72+1719.72+1756.44+1825.32</f>
        <v>10811.16</v>
      </c>
      <c r="J21" s="169" t="s">
        <v>74</v>
      </c>
      <c r="K21" s="160" t="s">
        <v>379</v>
      </c>
      <c r="L21" s="160" t="s">
        <v>380</v>
      </c>
      <c r="M21" s="160" t="s">
        <v>381</v>
      </c>
      <c r="N21" s="160" t="s">
        <v>382</v>
      </c>
      <c r="O21" s="160" t="s">
        <v>383</v>
      </c>
      <c r="P21" s="160" t="s">
        <v>384</v>
      </c>
      <c r="Q21" s="160" t="s">
        <v>385</v>
      </c>
      <c r="R21" s="160" t="s">
        <v>386</v>
      </c>
      <c r="S21" s="160" t="s">
        <v>387</v>
      </c>
      <c r="T21" s="160" t="s">
        <v>388</v>
      </c>
      <c r="U21" s="160" t="s">
        <v>389</v>
      </c>
      <c r="V21" s="160" t="s">
        <v>390</v>
      </c>
      <c r="W21" s="160" t="s">
        <v>391</v>
      </c>
      <c r="X21" s="160" t="s">
        <v>392</v>
      </c>
      <c r="Y21" s="160" t="s">
        <v>393</v>
      </c>
      <c r="Z21" s="160" t="s">
        <v>394</v>
      </c>
      <c r="AA21" s="160" t="s">
        <v>585</v>
      </c>
      <c r="AB21" s="160" t="s">
        <v>395</v>
      </c>
      <c r="AC21" s="160" t="s">
        <v>396</v>
      </c>
      <c r="AD21" s="160" t="s">
        <v>397</v>
      </c>
      <c r="AE21" s="160" t="s">
        <v>398</v>
      </c>
      <c r="AF21" s="160" t="s">
        <v>399</v>
      </c>
      <c r="AG21" s="160"/>
      <c r="AH21" s="160" t="s">
        <v>400</v>
      </c>
      <c r="AI21" s="160" t="s">
        <v>592</v>
      </c>
      <c r="AJ21" s="160" t="s">
        <v>401</v>
      </c>
      <c r="AK21" s="160" t="s">
        <v>593</v>
      </c>
      <c r="AL21" s="160" t="s">
        <v>402</v>
      </c>
      <c r="AM21" s="160" t="s">
        <v>594</v>
      </c>
      <c r="AN21" s="160" t="s">
        <v>403</v>
      </c>
      <c r="AO21" s="160" t="s">
        <v>404</v>
      </c>
      <c r="AP21" s="160" t="s">
        <v>405</v>
      </c>
      <c r="AQ21" s="160" t="s">
        <v>406</v>
      </c>
      <c r="AR21" s="160" t="s">
        <v>407</v>
      </c>
      <c r="AS21" s="160"/>
      <c r="AT21" s="160" t="s">
        <v>408</v>
      </c>
      <c r="AU21" s="160" t="s">
        <v>409</v>
      </c>
      <c r="AV21" s="160" t="s">
        <v>410</v>
      </c>
      <c r="AW21" s="160" t="s">
        <v>595</v>
      </c>
      <c r="AX21" s="160" t="s">
        <v>411</v>
      </c>
      <c r="AY21" s="160" t="s">
        <v>412</v>
      </c>
      <c r="AZ21" s="160" t="s">
        <v>413</v>
      </c>
      <c r="BA21" s="160" t="s">
        <v>414</v>
      </c>
      <c r="BB21" s="160" t="s">
        <v>415</v>
      </c>
      <c r="BC21" s="160" t="s">
        <v>416</v>
      </c>
      <c r="BD21" s="160" t="s">
        <v>417</v>
      </c>
      <c r="BE21" s="160" t="s">
        <v>418</v>
      </c>
      <c r="BF21" s="160" t="s">
        <v>419</v>
      </c>
      <c r="BG21" s="160" t="s">
        <v>420</v>
      </c>
      <c r="BH21" s="160" t="s">
        <v>421</v>
      </c>
      <c r="BI21" s="160" t="s">
        <v>422</v>
      </c>
      <c r="BJ21" s="160" t="s">
        <v>423</v>
      </c>
      <c r="BK21" s="160" t="s">
        <v>424</v>
      </c>
      <c r="BL21" s="160" t="s">
        <v>425</v>
      </c>
      <c r="BM21" s="160" t="s">
        <v>426</v>
      </c>
      <c r="BN21" s="160" t="s">
        <v>427</v>
      </c>
      <c r="BO21" s="160" t="s">
        <v>428</v>
      </c>
      <c r="BP21" s="160" t="s">
        <v>429</v>
      </c>
      <c r="BQ21" s="160" t="s">
        <v>430</v>
      </c>
      <c r="BR21" s="160" t="s">
        <v>431</v>
      </c>
      <c r="BS21" s="160" t="s">
        <v>432</v>
      </c>
      <c r="BT21" s="160" t="s">
        <v>433</v>
      </c>
      <c r="BU21" s="160" t="s">
        <v>434</v>
      </c>
      <c r="BV21" s="160" t="s">
        <v>435</v>
      </c>
      <c r="BW21" s="160" t="s">
        <v>436</v>
      </c>
      <c r="BX21" s="160" t="s">
        <v>437</v>
      </c>
      <c r="BY21" s="160"/>
      <c r="BZ21" s="160" t="s">
        <v>438</v>
      </c>
      <c r="CA21" s="160" t="s">
        <v>439</v>
      </c>
      <c r="CB21" s="160" t="s">
        <v>440</v>
      </c>
      <c r="CC21" s="155" t="s">
        <v>591</v>
      </c>
      <c r="CD21" s="155" t="s">
        <v>591</v>
      </c>
    </row>
    <row r="22" spans="1:82" s="2" customFormat="1" ht="53.25" customHeight="1" x14ac:dyDescent="0.25">
      <c r="A22" s="12">
        <v>43944</v>
      </c>
      <c r="B22" s="124" t="s">
        <v>334</v>
      </c>
      <c r="C22" s="5" t="s">
        <v>107</v>
      </c>
      <c r="D22" s="5" t="s">
        <v>18</v>
      </c>
      <c r="E22" s="5" t="s">
        <v>248</v>
      </c>
      <c r="F22" s="173" t="s">
        <v>589</v>
      </c>
      <c r="G22" s="5" t="s">
        <v>276</v>
      </c>
      <c r="H22" s="148">
        <v>0</v>
      </c>
      <c r="I22" s="13">
        <f>757.17+1784.43</f>
        <v>2541.6</v>
      </c>
      <c r="J22" s="170" t="s">
        <v>74</v>
      </c>
      <c r="K22" s="5" t="s">
        <v>108</v>
      </c>
      <c r="L22" s="5" t="s">
        <v>123</v>
      </c>
      <c r="M22" s="5" t="s">
        <v>124</v>
      </c>
      <c r="N22" s="5" t="s">
        <v>125</v>
      </c>
      <c r="O22" s="5" t="s">
        <v>126</v>
      </c>
      <c r="P22" s="5" t="s">
        <v>127</v>
      </c>
      <c r="Q22" s="155" t="s">
        <v>591</v>
      </c>
      <c r="R22" s="155" t="s">
        <v>591</v>
      </c>
      <c r="S22" s="155" t="s">
        <v>591</v>
      </c>
      <c r="T22" s="155" t="s">
        <v>591</v>
      </c>
      <c r="U22" s="155" t="s">
        <v>591</v>
      </c>
      <c r="V22" s="155" t="s">
        <v>591</v>
      </c>
      <c r="W22" s="155" t="s">
        <v>591</v>
      </c>
      <c r="X22" s="155" t="s">
        <v>591</v>
      </c>
      <c r="Y22" s="155" t="s">
        <v>591</v>
      </c>
      <c r="Z22" s="155" t="s">
        <v>591</v>
      </c>
      <c r="AA22" s="155" t="s">
        <v>591</v>
      </c>
      <c r="AB22" s="155" t="s">
        <v>591</v>
      </c>
      <c r="AC22" s="155" t="s">
        <v>591</v>
      </c>
      <c r="AD22" s="155" t="s">
        <v>591</v>
      </c>
      <c r="AE22" s="155" t="s">
        <v>591</v>
      </c>
      <c r="AF22" s="155" t="s">
        <v>591</v>
      </c>
      <c r="AG22" s="155" t="s">
        <v>591</v>
      </c>
      <c r="AH22" s="155" t="s">
        <v>591</v>
      </c>
      <c r="AI22" s="155" t="s">
        <v>591</v>
      </c>
      <c r="AJ22" s="155" t="s">
        <v>591</v>
      </c>
      <c r="AK22" s="155" t="s">
        <v>591</v>
      </c>
      <c r="AL22" s="155" t="s">
        <v>591</v>
      </c>
      <c r="AM22" s="155" t="s">
        <v>591</v>
      </c>
      <c r="AN22" s="155" t="s">
        <v>591</v>
      </c>
      <c r="AO22" s="155" t="s">
        <v>591</v>
      </c>
      <c r="AP22" s="155" t="s">
        <v>591</v>
      </c>
      <c r="AQ22" s="155" t="s">
        <v>591</v>
      </c>
      <c r="AR22" s="155" t="s">
        <v>591</v>
      </c>
      <c r="AS22" s="155" t="s">
        <v>591</v>
      </c>
      <c r="AT22" s="155" t="s">
        <v>591</v>
      </c>
      <c r="AU22" s="155" t="s">
        <v>591</v>
      </c>
      <c r="AV22" s="155" t="s">
        <v>591</v>
      </c>
      <c r="AW22" s="155" t="s">
        <v>591</v>
      </c>
      <c r="AX22" s="155" t="s">
        <v>591</v>
      </c>
      <c r="AY22" s="155" t="s">
        <v>591</v>
      </c>
      <c r="AZ22" s="155" t="s">
        <v>591</v>
      </c>
      <c r="BA22" s="155" t="s">
        <v>591</v>
      </c>
      <c r="BB22" s="155" t="s">
        <v>591</v>
      </c>
      <c r="BC22" s="155" t="s">
        <v>591</v>
      </c>
      <c r="BD22" s="155" t="s">
        <v>591</v>
      </c>
      <c r="BE22" s="155" t="s">
        <v>591</v>
      </c>
      <c r="BF22" s="155" t="s">
        <v>591</v>
      </c>
      <c r="BG22" s="155" t="s">
        <v>591</v>
      </c>
      <c r="BH22" s="155" t="s">
        <v>591</v>
      </c>
      <c r="BI22" s="155" t="s">
        <v>591</v>
      </c>
      <c r="BJ22" s="155" t="s">
        <v>591</v>
      </c>
      <c r="BK22" s="155" t="s">
        <v>591</v>
      </c>
      <c r="BL22" s="155" t="s">
        <v>591</v>
      </c>
      <c r="BM22" s="155" t="s">
        <v>591</v>
      </c>
      <c r="BN22" s="155" t="s">
        <v>591</v>
      </c>
      <c r="BO22" s="155" t="s">
        <v>591</v>
      </c>
      <c r="BP22" s="155" t="s">
        <v>591</v>
      </c>
      <c r="BQ22" s="155" t="s">
        <v>591</v>
      </c>
      <c r="BR22" s="155" t="s">
        <v>591</v>
      </c>
      <c r="BS22" s="155" t="s">
        <v>591</v>
      </c>
      <c r="BT22" s="155" t="s">
        <v>591</v>
      </c>
      <c r="BU22" s="155" t="s">
        <v>591</v>
      </c>
      <c r="BV22" s="155" t="s">
        <v>591</v>
      </c>
      <c r="BW22" s="155" t="s">
        <v>591</v>
      </c>
      <c r="BX22" s="155" t="s">
        <v>591</v>
      </c>
      <c r="BY22" s="155" t="s">
        <v>591</v>
      </c>
      <c r="BZ22" s="155" t="s">
        <v>591</v>
      </c>
      <c r="CA22" s="155" t="s">
        <v>591</v>
      </c>
      <c r="CB22" s="155" t="s">
        <v>591</v>
      </c>
      <c r="CC22" s="155" t="s">
        <v>591</v>
      </c>
      <c r="CD22" s="155" t="s">
        <v>591</v>
      </c>
    </row>
    <row r="23" spans="1:82" s="2" customFormat="1" ht="33.75" x14ac:dyDescent="0.25">
      <c r="A23" s="127">
        <v>43047</v>
      </c>
      <c r="B23" s="145" t="s">
        <v>327</v>
      </c>
      <c r="C23" s="129" t="s">
        <v>138</v>
      </c>
      <c r="D23" s="129" t="s">
        <v>142</v>
      </c>
      <c r="E23" s="129" t="s">
        <v>240</v>
      </c>
      <c r="F23" s="5" t="s">
        <v>153</v>
      </c>
      <c r="G23" s="129" t="s">
        <v>264</v>
      </c>
      <c r="H23" s="13">
        <f>17118.25+9461.77+24527.61+28258.64+27045+32387.36+30179.89+31096.52+28086.32+29542.31+29543.26+29470.37+30029.15</f>
        <v>346746.45</v>
      </c>
      <c r="I23" s="130">
        <f>29671.35+25475.44+27675.9+29857.16+30054.26+27911.01</f>
        <v>170645.12000000002</v>
      </c>
      <c r="J23" s="170" t="s">
        <v>74</v>
      </c>
      <c r="K23" s="129" t="s">
        <v>166</v>
      </c>
      <c r="L23" s="129" t="s">
        <v>296</v>
      </c>
      <c r="M23" s="155" t="s">
        <v>591</v>
      </c>
      <c r="N23" s="155" t="s">
        <v>591</v>
      </c>
      <c r="O23" s="155" t="s">
        <v>591</v>
      </c>
      <c r="P23" s="155" t="s">
        <v>591</v>
      </c>
      <c r="Q23" s="155" t="s">
        <v>591</v>
      </c>
      <c r="R23" s="155" t="s">
        <v>591</v>
      </c>
      <c r="S23" s="155" t="s">
        <v>591</v>
      </c>
      <c r="T23" s="155" t="s">
        <v>591</v>
      </c>
      <c r="U23" s="155" t="s">
        <v>591</v>
      </c>
      <c r="V23" s="155" t="s">
        <v>591</v>
      </c>
      <c r="W23" s="155" t="s">
        <v>591</v>
      </c>
      <c r="X23" s="155" t="s">
        <v>591</v>
      </c>
      <c r="Y23" s="155" t="s">
        <v>591</v>
      </c>
      <c r="Z23" s="155" t="s">
        <v>591</v>
      </c>
      <c r="AA23" s="155" t="s">
        <v>591</v>
      </c>
      <c r="AB23" s="155" t="s">
        <v>591</v>
      </c>
      <c r="AC23" s="155" t="s">
        <v>591</v>
      </c>
      <c r="AD23" s="155" t="s">
        <v>591</v>
      </c>
      <c r="AE23" s="155" t="s">
        <v>591</v>
      </c>
      <c r="AF23" s="155" t="s">
        <v>591</v>
      </c>
      <c r="AG23" s="155" t="s">
        <v>591</v>
      </c>
      <c r="AH23" s="155" t="s">
        <v>591</v>
      </c>
      <c r="AI23" s="155" t="s">
        <v>591</v>
      </c>
      <c r="AJ23" s="155" t="s">
        <v>591</v>
      </c>
      <c r="AK23" s="155" t="s">
        <v>591</v>
      </c>
      <c r="AL23" s="155" t="s">
        <v>591</v>
      </c>
      <c r="AM23" s="155" t="s">
        <v>591</v>
      </c>
      <c r="AN23" s="155" t="s">
        <v>591</v>
      </c>
      <c r="AO23" s="155" t="s">
        <v>591</v>
      </c>
      <c r="AP23" s="155" t="s">
        <v>591</v>
      </c>
      <c r="AQ23" s="155" t="s">
        <v>591</v>
      </c>
      <c r="AR23" s="155" t="s">
        <v>591</v>
      </c>
      <c r="AS23" s="155" t="s">
        <v>591</v>
      </c>
      <c r="AT23" s="155" t="s">
        <v>591</v>
      </c>
      <c r="AU23" s="155" t="s">
        <v>591</v>
      </c>
      <c r="AV23" s="155" t="s">
        <v>591</v>
      </c>
      <c r="AW23" s="155" t="s">
        <v>591</v>
      </c>
      <c r="AX23" s="155" t="s">
        <v>591</v>
      </c>
      <c r="AY23" s="155" t="s">
        <v>591</v>
      </c>
      <c r="AZ23" s="155" t="s">
        <v>591</v>
      </c>
      <c r="BA23" s="155" t="s">
        <v>591</v>
      </c>
      <c r="BB23" s="155" t="s">
        <v>591</v>
      </c>
      <c r="BC23" s="155" t="s">
        <v>591</v>
      </c>
      <c r="BD23" s="155" t="s">
        <v>591</v>
      </c>
      <c r="BE23" s="155" t="s">
        <v>591</v>
      </c>
      <c r="BF23" s="155" t="s">
        <v>591</v>
      </c>
      <c r="BG23" s="155" t="s">
        <v>591</v>
      </c>
      <c r="BH23" s="155" t="s">
        <v>591</v>
      </c>
      <c r="BI23" s="155" t="s">
        <v>591</v>
      </c>
      <c r="BJ23" s="155" t="s">
        <v>591</v>
      </c>
      <c r="BK23" s="155" t="s">
        <v>591</v>
      </c>
      <c r="BL23" s="155" t="s">
        <v>591</v>
      </c>
      <c r="BM23" s="155" t="s">
        <v>591</v>
      </c>
      <c r="BN23" s="155" t="s">
        <v>591</v>
      </c>
      <c r="BO23" s="155" t="s">
        <v>591</v>
      </c>
      <c r="BP23" s="155" t="s">
        <v>591</v>
      </c>
      <c r="BQ23" s="155" t="s">
        <v>591</v>
      </c>
      <c r="BR23" s="155" t="s">
        <v>591</v>
      </c>
      <c r="BS23" s="155" t="s">
        <v>591</v>
      </c>
      <c r="BT23" s="155" t="s">
        <v>591</v>
      </c>
      <c r="BU23" s="155" t="s">
        <v>591</v>
      </c>
      <c r="BV23" s="155" t="s">
        <v>591</v>
      </c>
      <c r="BW23" s="155" t="s">
        <v>591</v>
      </c>
      <c r="BX23" s="155" t="s">
        <v>591</v>
      </c>
      <c r="BY23" s="155" t="s">
        <v>591</v>
      </c>
      <c r="BZ23" s="155" t="s">
        <v>591</v>
      </c>
      <c r="CA23" s="155" t="s">
        <v>591</v>
      </c>
      <c r="CB23" s="155" t="s">
        <v>591</v>
      </c>
      <c r="CC23" s="155" t="s">
        <v>591</v>
      </c>
      <c r="CD23" s="155" t="s">
        <v>591</v>
      </c>
    </row>
    <row r="24" spans="1:82" s="2" customFormat="1" ht="55.5" customHeight="1" x14ac:dyDescent="0.25">
      <c r="A24" s="12">
        <v>43717</v>
      </c>
      <c r="B24" s="124" t="s">
        <v>538</v>
      </c>
      <c r="C24" s="150" t="s">
        <v>114</v>
      </c>
      <c r="D24" s="5" t="s">
        <v>21</v>
      </c>
      <c r="E24" s="5" t="s">
        <v>148</v>
      </c>
      <c r="F24" s="5" t="s">
        <v>154</v>
      </c>
      <c r="G24" s="129" t="s">
        <v>262</v>
      </c>
      <c r="H24" s="13">
        <f>148000+24000</f>
        <v>172000</v>
      </c>
      <c r="I24" s="130">
        <f>14463.4*6</f>
        <v>86780.4</v>
      </c>
      <c r="J24" s="50" t="s">
        <v>75</v>
      </c>
      <c r="K24" s="5" t="s">
        <v>115</v>
      </c>
      <c r="L24" s="5" t="s">
        <v>168</v>
      </c>
      <c r="M24" s="155" t="s">
        <v>591</v>
      </c>
      <c r="N24" s="155" t="s">
        <v>591</v>
      </c>
      <c r="O24" s="155" t="s">
        <v>591</v>
      </c>
      <c r="P24" s="155" t="s">
        <v>591</v>
      </c>
      <c r="Q24" s="155" t="s">
        <v>591</v>
      </c>
      <c r="R24" s="155" t="s">
        <v>591</v>
      </c>
      <c r="S24" s="155" t="s">
        <v>591</v>
      </c>
      <c r="T24" s="155" t="s">
        <v>591</v>
      </c>
      <c r="U24" s="155" t="s">
        <v>591</v>
      </c>
      <c r="V24" s="155" t="s">
        <v>591</v>
      </c>
      <c r="W24" s="155" t="s">
        <v>591</v>
      </c>
      <c r="X24" s="155" t="s">
        <v>591</v>
      </c>
      <c r="Y24" s="155" t="s">
        <v>591</v>
      </c>
      <c r="Z24" s="155" t="s">
        <v>591</v>
      </c>
      <c r="AA24" s="155" t="s">
        <v>591</v>
      </c>
      <c r="AB24" s="155" t="s">
        <v>591</v>
      </c>
      <c r="AC24" s="155" t="s">
        <v>591</v>
      </c>
      <c r="AD24" s="155" t="s">
        <v>591</v>
      </c>
      <c r="AE24" s="155" t="s">
        <v>591</v>
      </c>
      <c r="AF24" s="155" t="s">
        <v>591</v>
      </c>
      <c r="AG24" s="155" t="s">
        <v>591</v>
      </c>
      <c r="AH24" s="155" t="s">
        <v>591</v>
      </c>
      <c r="AI24" s="155" t="s">
        <v>591</v>
      </c>
      <c r="AJ24" s="155" t="s">
        <v>591</v>
      </c>
      <c r="AK24" s="155" t="s">
        <v>591</v>
      </c>
      <c r="AL24" s="155" t="s">
        <v>591</v>
      </c>
      <c r="AM24" s="155" t="s">
        <v>591</v>
      </c>
      <c r="AN24" s="155" t="s">
        <v>591</v>
      </c>
      <c r="AO24" s="155" t="s">
        <v>591</v>
      </c>
      <c r="AP24" s="155" t="s">
        <v>591</v>
      </c>
      <c r="AQ24" s="155" t="s">
        <v>591</v>
      </c>
      <c r="AR24" s="155" t="s">
        <v>591</v>
      </c>
      <c r="AS24" s="155" t="s">
        <v>591</v>
      </c>
      <c r="AT24" s="155" t="s">
        <v>591</v>
      </c>
      <c r="AU24" s="155" t="s">
        <v>591</v>
      </c>
      <c r="AV24" s="155" t="s">
        <v>591</v>
      </c>
      <c r="AW24" s="155" t="s">
        <v>591</v>
      </c>
      <c r="AX24" s="155" t="s">
        <v>591</v>
      </c>
      <c r="AY24" s="155" t="s">
        <v>591</v>
      </c>
      <c r="AZ24" s="155" t="s">
        <v>591</v>
      </c>
      <c r="BA24" s="155" t="s">
        <v>591</v>
      </c>
      <c r="BB24" s="155" t="s">
        <v>591</v>
      </c>
      <c r="BC24" s="155" t="s">
        <v>591</v>
      </c>
      <c r="BD24" s="155" t="s">
        <v>591</v>
      </c>
      <c r="BE24" s="155" t="s">
        <v>591</v>
      </c>
      <c r="BF24" s="155" t="s">
        <v>591</v>
      </c>
      <c r="BG24" s="155" t="s">
        <v>591</v>
      </c>
      <c r="BH24" s="155" t="s">
        <v>591</v>
      </c>
      <c r="BI24" s="155" t="s">
        <v>591</v>
      </c>
      <c r="BJ24" s="155" t="s">
        <v>591</v>
      </c>
      <c r="BK24" s="155" t="s">
        <v>591</v>
      </c>
      <c r="BL24" s="155" t="s">
        <v>591</v>
      </c>
      <c r="BM24" s="155" t="s">
        <v>591</v>
      </c>
      <c r="BN24" s="155" t="s">
        <v>591</v>
      </c>
      <c r="BO24" s="155" t="s">
        <v>591</v>
      </c>
      <c r="BP24" s="155" t="s">
        <v>591</v>
      </c>
      <c r="BQ24" s="155" t="s">
        <v>591</v>
      </c>
      <c r="BR24" s="155" t="s">
        <v>591</v>
      </c>
      <c r="BS24" s="155" t="s">
        <v>591</v>
      </c>
      <c r="BT24" s="155" t="s">
        <v>591</v>
      </c>
      <c r="BU24" s="155" t="s">
        <v>591</v>
      </c>
      <c r="BV24" s="155" t="s">
        <v>591</v>
      </c>
      <c r="BW24" s="155" t="s">
        <v>591</v>
      </c>
      <c r="BX24" s="155" t="s">
        <v>591</v>
      </c>
      <c r="BY24" s="155" t="s">
        <v>591</v>
      </c>
      <c r="BZ24" s="155" t="s">
        <v>591</v>
      </c>
      <c r="CA24" s="155" t="s">
        <v>591</v>
      </c>
      <c r="CB24" s="155" t="s">
        <v>591</v>
      </c>
      <c r="CC24" s="155" t="s">
        <v>591</v>
      </c>
      <c r="CD24" s="155" t="s">
        <v>591</v>
      </c>
    </row>
    <row r="25" spans="1:82" s="2" customFormat="1" ht="72.75" customHeight="1" x14ac:dyDescent="0.25">
      <c r="A25" s="128">
        <v>42576</v>
      </c>
      <c r="B25" s="145" t="s">
        <v>539</v>
      </c>
      <c r="C25" s="129" t="s">
        <v>109</v>
      </c>
      <c r="D25" s="129" t="s">
        <v>20</v>
      </c>
      <c r="E25" s="129" t="s">
        <v>237</v>
      </c>
      <c r="F25" s="5" t="s">
        <v>69</v>
      </c>
      <c r="G25" s="129" t="s">
        <v>260</v>
      </c>
      <c r="H25" s="130">
        <f>6292+1144</f>
        <v>7436</v>
      </c>
      <c r="I25" s="130">
        <f>572*5</f>
        <v>2860</v>
      </c>
      <c r="J25" s="170" t="s">
        <v>74</v>
      </c>
      <c r="K25" s="129" t="s">
        <v>112</v>
      </c>
      <c r="L25" s="129" t="s">
        <v>289</v>
      </c>
      <c r="M25" s="155" t="s">
        <v>591</v>
      </c>
      <c r="N25" s="155" t="s">
        <v>591</v>
      </c>
      <c r="O25" s="155" t="s">
        <v>591</v>
      </c>
      <c r="P25" s="155" t="s">
        <v>591</v>
      </c>
      <c r="Q25" s="155" t="s">
        <v>591</v>
      </c>
      <c r="R25" s="155" t="s">
        <v>591</v>
      </c>
      <c r="S25" s="155" t="s">
        <v>591</v>
      </c>
      <c r="T25" s="155" t="s">
        <v>591</v>
      </c>
      <c r="U25" s="155" t="s">
        <v>591</v>
      </c>
      <c r="V25" s="155" t="s">
        <v>591</v>
      </c>
      <c r="W25" s="155" t="s">
        <v>591</v>
      </c>
      <c r="X25" s="155" t="s">
        <v>591</v>
      </c>
      <c r="Y25" s="155" t="s">
        <v>591</v>
      </c>
      <c r="Z25" s="155" t="s">
        <v>591</v>
      </c>
      <c r="AA25" s="155" t="s">
        <v>591</v>
      </c>
      <c r="AB25" s="155" t="s">
        <v>591</v>
      </c>
      <c r="AC25" s="155" t="s">
        <v>591</v>
      </c>
      <c r="AD25" s="155" t="s">
        <v>591</v>
      </c>
      <c r="AE25" s="155" t="s">
        <v>591</v>
      </c>
      <c r="AF25" s="155" t="s">
        <v>591</v>
      </c>
      <c r="AG25" s="155" t="s">
        <v>591</v>
      </c>
      <c r="AH25" s="155" t="s">
        <v>591</v>
      </c>
      <c r="AI25" s="155" t="s">
        <v>591</v>
      </c>
      <c r="AJ25" s="155" t="s">
        <v>591</v>
      </c>
      <c r="AK25" s="155" t="s">
        <v>591</v>
      </c>
      <c r="AL25" s="155" t="s">
        <v>591</v>
      </c>
      <c r="AM25" s="155" t="s">
        <v>591</v>
      </c>
      <c r="AN25" s="155" t="s">
        <v>591</v>
      </c>
      <c r="AO25" s="155" t="s">
        <v>591</v>
      </c>
      <c r="AP25" s="155" t="s">
        <v>591</v>
      </c>
      <c r="AQ25" s="155" t="s">
        <v>591</v>
      </c>
      <c r="AR25" s="155" t="s">
        <v>591</v>
      </c>
      <c r="AS25" s="155" t="s">
        <v>591</v>
      </c>
      <c r="AT25" s="155" t="s">
        <v>591</v>
      </c>
      <c r="AU25" s="155" t="s">
        <v>591</v>
      </c>
      <c r="AV25" s="155" t="s">
        <v>591</v>
      </c>
      <c r="AW25" s="155" t="s">
        <v>591</v>
      </c>
      <c r="AX25" s="155" t="s">
        <v>591</v>
      </c>
      <c r="AY25" s="155" t="s">
        <v>591</v>
      </c>
      <c r="AZ25" s="155" t="s">
        <v>591</v>
      </c>
      <c r="BA25" s="155" t="s">
        <v>591</v>
      </c>
      <c r="BB25" s="155" t="s">
        <v>591</v>
      </c>
      <c r="BC25" s="155" t="s">
        <v>591</v>
      </c>
      <c r="BD25" s="155" t="s">
        <v>591</v>
      </c>
      <c r="BE25" s="155" t="s">
        <v>591</v>
      </c>
      <c r="BF25" s="155" t="s">
        <v>591</v>
      </c>
      <c r="BG25" s="155" t="s">
        <v>591</v>
      </c>
      <c r="BH25" s="155" t="s">
        <v>591</v>
      </c>
      <c r="BI25" s="155" t="s">
        <v>591</v>
      </c>
      <c r="BJ25" s="155" t="s">
        <v>591</v>
      </c>
      <c r="BK25" s="155" t="s">
        <v>591</v>
      </c>
      <c r="BL25" s="155" t="s">
        <v>591</v>
      </c>
      <c r="BM25" s="155" t="s">
        <v>591</v>
      </c>
      <c r="BN25" s="155" t="s">
        <v>591</v>
      </c>
      <c r="BO25" s="155" t="s">
        <v>591</v>
      </c>
      <c r="BP25" s="155" t="s">
        <v>591</v>
      </c>
      <c r="BQ25" s="155" t="s">
        <v>591</v>
      </c>
      <c r="BR25" s="155" t="s">
        <v>591</v>
      </c>
      <c r="BS25" s="155" t="s">
        <v>591</v>
      </c>
      <c r="BT25" s="155" t="s">
        <v>591</v>
      </c>
      <c r="BU25" s="155" t="s">
        <v>591</v>
      </c>
      <c r="BV25" s="155" t="s">
        <v>591</v>
      </c>
      <c r="BW25" s="155" t="s">
        <v>591</v>
      </c>
      <c r="BX25" s="155" t="s">
        <v>591</v>
      </c>
      <c r="BY25" s="155" t="s">
        <v>591</v>
      </c>
      <c r="BZ25" s="155" t="s">
        <v>591</v>
      </c>
      <c r="CA25" s="155" t="s">
        <v>591</v>
      </c>
      <c r="CB25" s="155" t="s">
        <v>591</v>
      </c>
      <c r="CC25" s="155" t="s">
        <v>591</v>
      </c>
      <c r="CD25" s="155" t="s">
        <v>591</v>
      </c>
    </row>
    <row r="26" spans="1:82" s="158" customFormat="1" ht="50.1" customHeight="1" x14ac:dyDescent="0.25">
      <c r="A26" s="155">
        <v>43607</v>
      </c>
      <c r="B26" s="156" t="s">
        <v>339</v>
      </c>
      <c r="C26" s="157" t="s">
        <v>134</v>
      </c>
      <c r="D26" s="157" t="s">
        <v>35</v>
      </c>
      <c r="E26" s="157" t="s">
        <v>36</v>
      </c>
      <c r="F26" s="157" t="s">
        <v>38</v>
      </c>
      <c r="G26" s="157" t="s">
        <v>282</v>
      </c>
      <c r="H26" s="159">
        <f>2044.8+2556+2556+2556</f>
        <v>9712.7999999999993</v>
      </c>
      <c r="I26" s="159">
        <f>2556+2556+2556+2556</f>
        <v>10224</v>
      </c>
      <c r="J26" s="169" t="s">
        <v>569</v>
      </c>
      <c r="K26" s="160" t="s">
        <v>547</v>
      </c>
      <c r="L26" s="160" t="s">
        <v>548</v>
      </c>
      <c r="M26" s="160" t="s">
        <v>549</v>
      </c>
      <c r="N26" s="160" t="s">
        <v>550</v>
      </c>
      <c r="O26" s="160" t="s">
        <v>551</v>
      </c>
      <c r="P26" s="160" t="s">
        <v>552</v>
      </c>
      <c r="Q26" s="160"/>
      <c r="R26" s="160" t="s">
        <v>553</v>
      </c>
      <c r="S26" s="160" t="s">
        <v>554</v>
      </c>
      <c r="T26" s="160" t="s">
        <v>555</v>
      </c>
      <c r="U26" s="160" t="s">
        <v>556</v>
      </c>
      <c r="V26" s="160" t="s">
        <v>557</v>
      </c>
      <c r="W26" s="160"/>
      <c r="X26" s="160" t="s">
        <v>558</v>
      </c>
      <c r="Y26" s="160" t="s">
        <v>559</v>
      </c>
      <c r="Z26" s="160" t="s">
        <v>560</v>
      </c>
      <c r="AA26" s="160" t="s">
        <v>561</v>
      </c>
      <c r="AB26" s="160" t="s">
        <v>562</v>
      </c>
      <c r="AC26" s="160" t="s">
        <v>563</v>
      </c>
      <c r="AD26" s="160" t="s">
        <v>564</v>
      </c>
      <c r="AE26" s="160" t="s">
        <v>565</v>
      </c>
      <c r="AF26" s="160" t="s">
        <v>566</v>
      </c>
      <c r="AG26" s="160" t="s">
        <v>567</v>
      </c>
      <c r="AH26" s="160" t="s">
        <v>568</v>
      </c>
      <c r="AI26" s="155" t="s">
        <v>591</v>
      </c>
      <c r="AJ26" s="155" t="s">
        <v>591</v>
      </c>
      <c r="AK26" s="155" t="s">
        <v>591</v>
      </c>
      <c r="AL26" s="155" t="s">
        <v>591</v>
      </c>
      <c r="AM26" s="155" t="s">
        <v>591</v>
      </c>
      <c r="AN26" s="155" t="s">
        <v>591</v>
      </c>
      <c r="AO26" s="155" t="s">
        <v>591</v>
      </c>
      <c r="AP26" s="155" t="s">
        <v>591</v>
      </c>
      <c r="AQ26" s="155" t="s">
        <v>591</v>
      </c>
      <c r="AR26" s="155" t="s">
        <v>591</v>
      </c>
      <c r="AS26" s="155" t="s">
        <v>591</v>
      </c>
      <c r="AT26" s="155" t="s">
        <v>591</v>
      </c>
      <c r="AU26" s="155" t="s">
        <v>591</v>
      </c>
      <c r="AV26" s="155" t="s">
        <v>591</v>
      </c>
      <c r="AW26" s="155" t="s">
        <v>591</v>
      </c>
      <c r="AX26" s="155" t="s">
        <v>591</v>
      </c>
      <c r="AY26" s="155" t="s">
        <v>591</v>
      </c>
      <c r="AZ26" s="155" t="s">
        <v>591</v>
      </c>
      <c r="BA26" s="155" t="s">
        <v>591</v>
      </c>
      <c r="BB26" s="155" t="s">
        <v>591</v>
      </c>
      <c r="BC26" s="155" t="s">
        <v>591</v>
      </c>
      <c r="BD26" s="155" t="s">
        <v>591</v>
      </c>
      <c r="BE26" s="155" t="s">
        <v>591</v>
      </c>
      <c r="BF26" s="155" t="s">
        <v>591</v>
      </c>
      <c r="BG26" s="155" t="s">
        <v>591</v>
      </c>
      <c r="BH26" s="155" t="s">
        <v>591</v>
      </c>
      <c r="BI26" s="155" t="s">
        <v>591</v>
      </c>
      <c r="BJ26" s="155" t="s">
        <v>591</v>
      </c>
      <c r="BK26" s="155" t="s">
        <v>591</v>
      </c>
      <c r="BL26" s="155" t="s">
        <v>591</v>
      </c>
      <c r="BM26" s="155" t="s">
        <v>591</v>
      </c>
      <c r="BN26" s="155" t="s">
        <v>591</v>
      </c>
      <c r="BO26" s="155" t="s">
        <v>591</v>
      </c>
      <c r="BP26" s="155" t="s">
        <v>591</v>
      </c>
      <c r="BQ26" s="155" t="s">
        <v>591</v>
      </c>
      <c r="BR26" s="155" t="s">
        <v>591</v>
      </c>
      <c r="BS26" s="155" t="s">
        <v>591</v>
      </c>
      <c r="BT26" s="155" t="s">
        <v>591</v>
      </c>
      <c r="BU26" s="155" t="s">
        <v>591</v>
      </c>
      <c r="BV26" s="155" t="s">
        <v>591</v>
      </c>
      <c r="BW26" s="155" t="s">
        <v>591</v>
      </c>
      <c r="BX26" s="155" t="s">
        <v>591</v>
      </c>
      <c r="BY26" s="155" t="s">
        <v>591</v>
      </c>
      <c r="BZ26" s="155" t="s">
        <v>591</v>
      </c>
      <c r="CA26" s="155" t="s">
        <v>591</v>
      </c>
      <c r="CB26" s="155" t="s">
        <v>591</v>
      </c>
      <c r="CC26" s="155" t="s">
        <v>591</v>
      </c>
      <c r="CD26" s="155" t="s">
        <v>591</v>
      </c>
    </row>
    <row r="27" spans="1:82" s="2" customFormat="1" ht="45" x14ac:dyDescent="0.25">
      <c r="A27" s="12">
        <v>43738</v>
      </c>
      <c r="B27" s="124" t="s">
        <v>540</v>
      </c>
      <c r="C27" s="150" t="s">
        <v>128</v>
      </c>
      <c r="D27" s="5" t="s">
        <v>90</v>
      </c>
      <c r="E27" s="5" t="s">
        <v>149</v>
      </c>
      <c r="F27" s="5" t="s">
        <v>155</v>
      </c>
      <c r="G27" s="5" t="s">
        <v>606</v>
      </c>
      <c r="H27" s="13">
        <f>3434690.24+569689.95</f>
        <v>4004380.1900000004</v>
      </c>
      <c r="I27" s="13">
        <f>278017.08+289045.78+287403.36</f>
        <v>854466.22000000009</v>
      </c>
      <c r="J27" s="50" t="s">
        <v>569</v>
      </c>
      <c r="K27" s="131" t="s">
        <v>441</v>
      </c>
      <c r="L27" s="131" t="s">
        <v>442</v>
      </c>
      <c r="M27" s="131" t="s">
        <v>443</v>
      </c>
      <c r="N27" s="131" t="s">
        <v>444</v>
      </c>
      <c r="O27" s="131" t="s">
        <v>445</v>
      </c>
      <c r="P27" s="131" t="s">
        <v>446</v>
      </c>
      <c r="Q27" s="131" t="s">
        <v>447</v>
      </c>
      <c r="R27" s="131" t="s">
        <v>448</v>
      </c>
      <c r="S27" s="131" t="s">
        <v>449</v>
      </c>
      <c r="T27" s="131" t="s">
        <v>450</v>
      </c>
      <c r="U27" s="131" t="s">
        <v>451</v>
      </c>
      <c r="V27" s="131" t="s">
        <v>452</v>
      </c>
      <c r="W27" s="131" t="s">
        <v>453</v>
      </c>
      <c r="X27" s="131" t="s">
        <v>454</v>
      </c>
      <c r="Y27" s="131" t="s">
        <v>455</v>
      </c>
      <c r="Z27" s="131" t="s">
        <v>456</v>
      </c>
      <c r="AA27" s="131" t="s">
        <v>457</v>
      </c>
      <c r="AB27" s="131" t="s">
        <v>458</v>
      </c>
      <c r="AC27" s="131"/>
      <c r="AD27" s="147" t="s">
        <v>459</v>
      </c>
      <c r="AE27" s="131" t="s">
        <v>460</v>
      </c>
      <c r="AF27" s="131" t="s">
        <v>461</v>
      </c>
      <c r="AG27" s="131" t="s">
        <v>462</v>
      </c>
      <c r="AH27" s="131" t="s">
        <v>463</v>
      </c>
      <c r="AI27" s="131" t="s">
        <v>464</v>
      </c>
      <c r="AJ27" s="131" t="s">
        <v>465</v>
      </c>
      <c r="AK27" s="131" t="s">
        <v>466</v>
      </c>
      <c r="AL27" s="131" t="s">
        <v>467</v>
      </c>
      <c r="AM27" s="131" t="s">
        <v>468</v>
      </c>
      <c r="AN27" s="131" t="s">
        <v>469</v>
      </c>
      <c r="AO27" s="131" t="s">
        <v>470</v>
      </c>
      <c r="AP27" s="131" t="s">
        <v>471</v>
      </c>
      <c r="AQ27" s="131" t="s">
        <v>472</v>
      </c>
      <c r="AR27" s="131" t="s">
        <v>473</v>
      </c>
      <c r="AS27" s="131" t="s">
        <v>474</v>
      </c>
      <c r="AT27" s="131" t="s">
        <v>475</v>
      </c>
      <c r="AU27" s="131" t="s">
        <v>476</v>
      </c>
      <c r="AV27" s="131" t="s">
        <v>477</v>
      </c>
      <c r="AW27" s="131" t="s">
        <v>478</v>
      </c>
      <c r="AX27" s="131" t="s">
        <v>479</v>
      </c>
      <c r="AY27" s="131" t="s">
        <v>480</v>
      </c>
      <c r="AZ27" s="131" t="s">
        <v>481</v>
      </c>
      <c r="BA27" s="131" t="s">
        <v>482</v>
      </c>
      <c r="BB27" s="131" t="s">
        <v>483</v>
      </c>
      <c r="BC27" s="131" t="s">
        <v>484</v>
      </c>
      <c r="BD27" s="131" t="s">
        <v>485</v>
      </c>
      <c r="BE27" s="131" t="s">
        <v>486</v>
      </c>
      <c r="BF27" s="131" t="s">
        <v>487</v>
      </c>
      <c r="BG27" s="131" t="s">
        <v>488</v>
      </c>
      <c r="BH27" s="131" t="s">
        <v>489</v>
      </c>
      <c r="BI27" s="131" t="s">
        <v>490</v>
      </c>
      <c r="BJ27" s="131" t="s">
        <v>491</v>
      </c>
      <c r="BK27" s="155" t="s">
        <v>591</v>
      </c>
      <c r="BL27" s="155" t="s">
        <v>591</v>
      </c>
      <c r="BM27" s="155" t="s">
        <v>591</v>
      </c>
      <c r="BN27" s="155" t="s">
        <v>591</v>
      </c>
      <c r="BO27" s="155" t="s">
        <v>591</v>
      </c>
      <c r="BP27" s="155" t="s">
        <v>591</v>
      </c>
      <c r="BQ27" s="155" t="s">
        <v>591</v>
      </c>
      <c r="BR27" s="155" t="s">
        <v>591</v>
      </c>
      <c r="BS27" s="155" t="s">
        <v>591</v>
      </c>
      <c r="BT27" s="155" t="s">
        <v>591</v>
      </c>
      <c r="BU27" s="155" t="s">
        <v>591</v>
      </c>
      <c r="BV27" s="155" t="s">
        <v>591</v>
      </c>
      <c r="BW27" s="155" t="s">
        <v>591</v>
      </c>
      <c r="BX27" s="155" t="s">
        <v>591</v>
      </c>
      <c r="BY27" s="155" t="s">
        <v>591</v>
      </c>
      <c r="BZ27" s="155" t="s">
        <v>591</v>
      </c>
      <c r="CA27" s="155" t="s">
        <v>591</v>
      </c>
      <c r="CB27" s="155" t="s">
        <v>591</v>
      </c>
      <c r="CC27" s="155" t="s">
        <v>591</v>
      </c>
      <c r="CD27" s="155" t="s">
        <v>591</v>
      </c>
    </row>
    <row r="28" spans="1:82" s="2" customFormat="1" ht="33.75" x14ac:dyDescent="0.25">
      <c r="A28" s="12">
        <v>43612</v>
      </c>
      <c r="B28" s="124" t="s">
        <v>186</v>
      </c>
      <c r="C28" s="150" t="s">
        <v>135</v>
      </c>
      <c r="D28" s="5" t="s">
        <v>41</v>
      </c>
      <c r="E28" s="5" t="s">
        <v>42</v>
      </c>
      <c r="F28" s="5" t="s">
        <v>44</v>
      </c>
      <c r="G28" s="129" t="s">
        <v>269</v>
      </c>
      <c r="H28" s="13">
        <f>6*280</f>
        <v>1680</v>
      </c>
      <c r="I28" s="130">
        <f>280*4</f>
        <v>1120</v>
      </c>
      <c r="J28" s="50" t="s">
        <v>75</v>
      </c>
      <c r="K28" s="5" t="s">
        <v>160</v>
      </c>
      <c r="L28" s="5" t="s">
        <v>161</v>
      </c>
      <c r="M28" s="155" t="s">
        <v>591</v>
      </c>
      <c r="N28" s="155" t="s">
        <v>591</v>
      </c>
      <c r="O28" s="155" t="s">
        <v>591</v>
      </c>
      <c r="P28" s="155" t="s">
        <v>591</v>
      </c>
      <c r="Q28" s="155" t="s">
        <v>591</v>
      </c>
      <c r="R28" s="155" t="s">
        <v>591</v>
      </c>
      <c r="S28" s="155" t="s">
        <v>591</v>
      </c>
      <c r="T28" s="155" t="s">
        <v>591</v>
      </c>
      <c r="U28" s="155" t="s">
        <v>591</v>
      </c>
      <c r="V28" s="155" t="s">
        <v>591</v>
      </c>
      <c r="W28" s="155" t="s">
        <v>591</v>
      </c>
      <c r="X28" s="155" t="s">
        <v>591</v>
      </c>
      <c r="Y28" s="155" t="s">
        <v>591</v>
      </c>
      <c r="Z28" s="155" t="s">
        <v>591</v>
      </c>
      <c r="AA28" s="155" t="s">
        <v>591</v>
      </c>
      <c r="AB28" s="155" t="s">
        <v>591</v>
      </c>
      <c r="AC28" s="155" t="s">
        <v>591</v>
      </c>
      <c r="AD28" s="155" t="s">
        <v>591</v>
      </c>
      <c r="AE28" s="155" t="s">
        <v>591</v>
      </c>
      <c r="AF28" s="155" t="s">
        <v>591</v>
      </c>
      <c r="AG28" s="155" t="s">
        <v>591</v>
      </c>
      <c r="AH28" s="155" t="s">
        <v>591</v>
      </c>
      <c r="AI28" s="155" t="s">
        <v>591</v>
      </c>
      <c r="AJ28" s="155" t="s">
        <v>591</v>
      </c>
      <c r="AK28" s="155" t="s">
        <v>591</v>
      </c>
      <c r="AL28" s="155" t="s">
        <v>591</v>
      </c>
      <c r="AM28" s="155" t="s">
        <v>591</v>
      </c>
      <c r="AN28" s="155" t="s">
        <v>591</v>
      </c>
      <c r="AO28" s="155" t="s">
        <v>591</v>
      </c>
      <c r="AP28" s="155" t="s">
        <v>591</v>
      </c>
      <c r="AQ28" s="155" t="s">
        <v>591</v>
      </c>
      <c r="AR28" s="155" t="s">
        <v>591</v>
      </c>
      <c r="AS28" s="155" t="s">
        <v>591</v>
      </c>
      <c r="AT28" s="155" t="s">
        <v>591</v>
      </c>
      <c r="AU28" s="155" t="s">
        <v>591</v>
      </c>
      <c r="AV28" s="155" t="s">
        <v>591</v>
      </c>
      <c r="AW28" s="155" t="s">
        <v>591</v>
      </c>
      <c r="AX28" s="155" t="s">
        <v>591</v>
      </c>
      <c r="AY28" s="155" t="s">
        <v>591</v>
      </c>
      <c r="AZ28" s="155" t="s">
        <v>591</v>
      </c>
      <c r="BA28" s="155" t="s">
        <v>591</v>
      </c>
      <c r="BB28" s="155" t="s">
        <v>591</v>
      </c>
      <c r="BC28" s="155" t="s">
        <v>591</v>
      </c>
      <c r="BD28" s="155" t="s">
        <v>591</v>
      </c>
      <c r="BE28" s="155" t="s">
        <v>591</v>
      </c>
      <c r="BF28" s="155" t="s">
        <v>591</v>
      </c>
      <c r="BG28" s="155" t="s">
        <v>591</v>
      </c>
      <c r="BH28" s="155" t="s">
        <v>591</v>
      </c>
      <c r="BI28" s="155" t="s">
        <v>591</v>
      </c>
      <c r="BJ28" s="155" t="s">
        <v>591</v>
      </c>
      <c r="BK28" s="155" t="s">
        <v>591</v>
      </c>
      <c r="BL28" s="155" t="s">
        <v>591</v>
      </c>
      <c r="BM28" s="155" t="s">
        <v>591</v>
      </c>
      <c r="BN28" s="155" t="s">
        <v>591</v>
      </c>
      <c r="BO28" s="155" t="s">
        <v>591</v>
      </c>
      <c r="BP28" s="155" t="s">
        <v>591</v>
      </c>
      <c r="BQ28" s="155" t="s">
        <v>591</v>
      </c>
      <c r="BR28" s="155" t="s">
        <v>591</v>
      </c>
      <c r="BS28" s="155" t="s">
        <v>591</v>
      </c>
      <c r="BT28" s="155" t="s">
        <v>591</v>
      </c>
      <c r="BU28" s="155" t="s">
        <v>591</v>
      </c>
      <c r="BV28" s="155" t="s">
        <v>591</v>
      </c>
      <c r="BW28" s="155" t="s">
        <v>591</v>
      </c>
      <c r="BX28" s="155" t="s">
        <v>591</v>
      </c>
      <c r="BY28" s="155" t="s">
        <v>591</v>
      </c>
      <c r="BZ28" s="155" t="s">
        <v>591</v>
      </c>
      <c r="CA28" s="155" t="s">
        <v>591</v>
      </c>
      <c r="CB28" s="155" t="s">
        <v>591</v>
      </c>
      <c r="CC28" s="155" t="s">
        <v>591</v>
      </c>
      <c r="CD28" s="155" t="s">
        <v>591</v>
      </c>
    </row>
    <row r="29" spans="1:82" s="2" customFormat="1" ht="50.1" customHeight="1" x14ac:dyDescent="0.25">
      <c r="A29" s="128">
        <v>43462</v>
      </c>
      <c r="B29" s="145" t="s">
        <v>541</v>
      </c>
      <c r="C29" s="129" t="s">
        <v>205</v>
      </c>
      <c r="D29" s="129" t="s">
        <v>144</v>
      </c>
      <c r="E29" s="129" t="s">
        <v>241</v>
      </c>
      <c r="F29" s="5" t="s">
        <v>542</v>
      </c>
      <c r="G29" s="129" t="s">
        <v>267</v>
      </c>
      <c r="H29" s="13">
        <f>11*450</f>
        <v>4950</v>
      </c>
      <c r="I29" s="130">
        <f>450*5</f>
        <v>2250</v>
      </c>
      <c r="J29" s="170" t="s">
        <v>74</v>
      </c>
      <c r="K29" s="129" t="s">
        <v>171</v>
      </c>
      <c r="L29" s="129" t="s">
        <v>297</v>
      </c>
      <c r="M29" s="129" t="s">
        <v>173</v>
      </c>
      <c r="N29" s="129" t="s">
        <v>174</v>
      </c>
      <c r="O29" s="155" t="s">
        <v>591</v>
      </c>
      <c r="P29" s="155" t="s">
        <v>591</v>
      </c>
      <c r="Q29" s="155" t="s">
        <v>591</v>
      </c>
      <c r="R29" s="155" t="s">
        <v>591</v>
      </c>
      <c r="S29" s="155" t="s">
        <v>591</v>
      </c>
      <c r="T29" s="155" t="s">
        <v>591</v>
      </c>
      <c r="U29" s="155" t="s">
        <v>591</v>
      </c>
      <c r="V29" s="155" t="s">
        <v>591</v>
      </c>
      <c r="W29" s="155" t="s">
        <v>591</v>
      </c>
      <c r="X29" s="155" t="s">
        <v>591</v>
      </c>
      <c r="Y29" s="155" t="s">
        <v>591</v>
      </c>
      <c r="Z29" s="155" t="s">
        <v>591</v>
      </c>
      <c r="AA29" s="155" t="s">
        <v>591</v>
      </c>
      <c r="AB29" s="155" t="s">
        <v>591</v>
      </c>
      <c r="AC29" s="155" t="s">
        <v>591</v>
      </c>
      <c r="AD29" s="155" t="s">
        <v>591</v>
      </c>
      <c r="AE29" s="155" t="s">
        <v>591</v>
      </c>
      <c r="AF29" s="155" t="s">
        <v>591</v>
      </c>
      <c r="AG29" s="155" t="s">
        <v>591</v>
      </c>
      <c r="AH29" s="155" t="s">
        <v>591</v>
      </c>
      <c r="AI29" s="155" t="s">
        <v>591</v>
      </c>
      <c r="AJ29" s="155" t="s">
        <v>591</v>
      </c>
      <c r="AK29" s="155" t="s">
        <v>591</v>
      </c>
      <c r="AL29" s="155" t="s">
        <v>591</v>
      </c>
      <c r="AM29" s="155" t="s">
        <v>591</v>
      </c>
      <c r="AN29" s="155" t="s">
        <v>591</v>
      </c>
      <c r="AO29" s="155" t="s">
        <v>591</v>
      </c>
      <c r="AP29" s="155" t="s">
        <v>591</v>
      </c>
      <c r="AQ29" s="155" t="s">
        <v>591</v>
      </c>
      <c r="AR29" s="155" t="s">
        <v>591</v>
      </c>
      <c r="AS29" s="155" t="s">
        <v>591</v>
      </c>
      <c r="AT29" s="155" t="s">
        <v>591</v>
      </c>
      <c r="AU29" s="155" t="s">
        <v>591</v>
      </c>
      <c r="AV29" s="155" t="s">
        <v>591</v>
      </c>
      <c r="AW29" s="155" t="s">
        <v>591</v>
      </c>
      <c r="AX29" s="155" t="s">
        <v>591</v>
      </c>
      <c r="AY29" s="155" t="s">
        <v>591</v>
      </c>
      <c r="AZ29" s="155" t="s">
        <v>591</v>
      </c>
      <c r="BA29" s="155" t="s">
        <v>591</v>
      </c>
      <c r="BB29" s="155" t="s">
        <v>591</v>
      </c>
      <c r="BC29" s="155" t="s">
        <v>591</v>
      </c>
      <c r="BD29" s="155" t="s">
        <v>591</v>
      </c>
      <c r="BE29" s="155" t="s">
        <v>591</v>
      </c>
      <c r="BF29" s="155" t="s">
        <v>591</v>
      </c>
      <c r="BG29" s="155" t="s">
        <v>591</v>
      </c>
      <c r="BH29" s="155" t="s">
        <v>591</v>
      </c>
      <c r="BI29" s="155" t="s">
        <v>591</v>
      </c>
      <c r="BJ29" s="155" t="s">
        <v>591</v>
      </c>
      <c r="BK29" s="155" t="s">
        <v>591</v>
      </c>
      <c r="BL29" s="155" t="s">
        <v>591</v>
      </c>
      <c r="BM29" s="155" t="s">
        <v>591</v>
      </c>
      <c r="BN29" s="155" t="s">
        <v>591</v>
      </c>
      <c r="BO29" s="155" t="s">
        <v>591</v>
      </c>
      <c r="BP29" s="155" t="s">
        <v>591</v>
      </c>
      <c r="BQ29" s="155" t="s">
        <v>591</v>
      </c>
      <c r="BR29" s="155" t="s">
        <v>591</v>
      </c>
      <c r="BS29" s="155" t="s">
        <v>591</v>
      </c>
      <c r="BT29" s="155" t="s">
        <v>591</v>
      </c>
      <c r="BU29" s="155" t="s">
        <v>591</v>
      </c>
      <c r="BV29" s="155" t="s">
        <v>591</v>
      </c>
      <c r="BW29" s="155" t="s">
        <v>591</v>
      </c>
      <c r="BX29" s="155" t="s">
        <v>591</v>
      </c>
      <c r="BY29" s="155" t="s">
        <v>591</v>
      </c>
      <c r="BZ29" s="155" t="s">
        <v>591</v>
      </c>
      <c r="CA29" s="155" t="s">
        <v>591</v>
      </c>
      <c r="CB29" s="155" t="s">
        <v>591</v>
      </c>
      <c r="CC29" s="155" t="s">
        <v>591</v>
      </c>
      <c r="CD29" s="155" t="s">
        <v>591</v>
      </c>
    </row>
    <row r="30" spans="1:82" s="2" customFormat="1" ht="44.25" customHeight="1" x14ac:dyDescent="0.25">
      <c r="A30" s="128">
        <v>43991</v>
      </c>
      <c r="B30" s="145" t="s">
        <v>337</v>
      </c>
      <c r="C30" s="129" t="s">
        <v>212</v>
      </c>
      <c r="D30" s="129" t="s">
        <v>229</v>
      </c>
      <c r="E30" s="129" t="s">
        <v>250</v>
      </c>
      <c r="F30" s="173" t="s">
        <v>589</v>
      </c>
      <c r="G30" s="129" t="s">
        <v>280</v>
      </c>
      <c r="H30" s="148">
        <v>0</v>
      </c>
      <c r="I30" s="130">
        <f>0</f>
        <v>0</v>
      </c>
      <c r="J30" s="171" t="s">
        <v>74</v>
      </c>
      <c r="K30" s="129" t="s">
        <v>311</v>
      </c>
      <c r="L30" s="129" t="s">
        <v>312</v>
      </c>
      <c r="M30" s="129" t="s">
        <v>313</v>
      </c>
      <c r="N30" s="129" t="s">
        <v>314</v>
      </c>
      <c r="O30" s="155" t="s">
        <v>591</v>
      </c>
      <c r="P30" s="155" t="s">
        <v>591</v>
      </c>
      <c r="Q30" s="155" t="s">
        <v>591</v>
      </c>
      <c r="R30" s="155" t="s">
        <v>591</v>
      </c>
      <c r="S30" s="155" t="s">
        <v>591</v>
      </c>
      <c r="T30" s="155" t="s">
        <v>591</v>
      </c>
      <c r="U30" s="155" t="s">
        <v>591</v>
      </c>
      <c r="V30" s="155" t="s">
        <v>591</v>
      </c>
      <c r="W30" s="155" t="s">
        <v>591</v>
      </c>
      <c r="X30" s="155" t="s">
        <v>591</v>
      </c>
      <c r="Y30" s="155" t="s">
        <v>591</v>
      </c>
      <c r="Z30" s="155" t="s">
        <v>591</v>
      </c>
      <c r="AA30" s="155" t="s">
        <v>591</v>
      </c>
      <c r="AB30" s="155" t="s">
        <v>591</v>
      </c>
      <c r="AC30" s="155" t="s">
        <v>591</v>
      </c>
      <c r="AD30" s="155" t="s">
        <v>591</v>
      </c>
      <c r="AE30" s="155" t="s">
        <v>591</v>
      </c>
      <c r="AF30" s="155" t="s">
        <v>591</v>
      </c>
      <c r="AG30" s="155" t="s">
        <v>591</v>
      </c>
      <c r="AH30" s="155" t="s">
        <v>591</v>
      </c>
      <c r="AI30" s="155" t="s">
        <v>591</v>
      </c>
      <c r="AJ30" s="155" t="s">
        <v>591</v>
      </c>
      <c r="AK30" s="155" t="s">
        <v>591</v>
      </c>
      <c r="AL30" s="155" t="s">
        <v>591</v>
      </c>
      <c r="AM30" s="155" t="s">
        <v>591</v>
      </c>
      <c r="AN30" s="155" t="s">
        <v>591</v>
      </c>
      <c r="AO30" s="155" t="s">
        <v>591</v>
      </c>
      <c r="AP30" s="155" t="s">
        <v>591</v>
      </c>
      <c r="AQ30" s="155" t="s">
        <v>591</v>
      </c>
      <c r="AR30" s="155" t="s">
        <v>591</v>
      </c>
      <c r="AS30" s="155" t="s">
        <v>591</v>
      </c>
      <c r="AT30" s="155" t="s">
        <v>591</v>
      </c>
      <c r="AU30" s="155" t="s">
        <v>591</v>
      </c>
      <c r="AV30" s="155" t="s">
        <v>591</v>
      </c>
      <c r="AW30" s="155" t="s">
        <v>591</v>
      </c>
      <c r="AX30" s="155" t="s">
        <v>591</v>
      </c>
      <c r="AY30" s="155" t="s">
        <v>591</v>
      </c>
      <c r="AZ30" s="155" t="s">
        <v>591</v>
      </c>
      <c r="BA30" s="155" t="s">
        <v>591</v>
      </c>
      <c r="BB30" s="155" t="s">
        <v>591</v>
      </c>
      <c r="BC30" s="155" t="s">
        <v>591</v>
      </c>
      <c r="BD30" s="155" t="s">
        <v>591</v>
      </c>
      <c r="BE30" s="155" t="s">
        <v>591</v>
      </c>
      <c r="BF30" s="155" t="s">
        <v>591</v>
      </c>
      <c r="BG30" s="155" t="s">
        <v>591</v>
      </c>
      <c r="BH30" s="155" t="s">
        <v>591</v>
      </c>
      <c r="BI30" s="155" t="s">
        <v>591</v>
      </c>
      <c r="BJ30" s="155" t="s">
        <v>591</v>
      </c>
      <c r="BK30" s="155" t="s">
        <v>591</v>
      </c>
      <c r="BL30" s="155" t="s">
        <v>591</v>
      </c>
      <c r="BM30" s="155" t="s">
        <v>591</v>
      </c>
      <c r="BN30" s="155" t="s">
        <v>591</v>
      </c>
      <c r="BO30" s="155" t="s">
        <v>591</v>
      </c>
      <c r="BP30" s="155" t="s">
        <v>591</v>
      </c>
      <c r="BQ30" s="155" t="s">
        <v>591</v>
      </c>
      <c r="BR30" s="155" t="s">
        <v>591</v>
      </c>
      <c r="BS30" s="155" t="s">
        <v>591</v>
      </c>
      <c r="BT30" s="155" t="s">
        <v>591</v>
      </c>
      <c r="BU30" s="155" t="s">
        <v>591</v>
      </c>
      <c r="BV30" s="155" t="s">
        <v>591</v>
      </c>
      <c r="BW30" s="155" t="s">
        <v>591</v>
      </c>
      <c r="BX30" s="155" t="s">
        <v>591</v>
      </c>
      <c r="BY30" s="155" t="s">
        <v>591</v>
      </c>
      <c r="BZ30" s="155" t="s">
        <v>591</v>
      </c>
      <c r="CA30" s="155" t="s">
        <v>591</v>
      </c>
      <c r="CB30" s="155" t="s">
        <v>591</v>
      </c>
      <c r="CC30" s="155" t="s">
        <v>591</v>
      </c>
      <c r="CD30" s="155" t="s">
        <v>591</v>
      </c>
    </row>
    <row r="31" spans="1:82" s="2" customFormat="1" ht="45.75" customHeight="1" x14ac:dyDescent="0.25">
      <c r="A31" s="127">
        <v>42737</v>
      </c>
      <c r="B31" s="145" t="s">
        <v>326</v>
      </c>
      <c r="C31" s="129" t="s">
        <v>204</v>
      </c>
      <c r="D31" s="129" t="s">
        <v>222</v>
      </c>
      <c r="E31" s="129" t="s">
        <v>239</v>
      </c>
      <c r="F31" s="129" t="s">
        <v>602</v>
      </c>
      <c r="G31" s="129" t="s">
        <v>263</v>
      </c>
      <c r="H31" s="130">
        <f>855.44+552.67+691.9+853.53+1467.96+509.76+1791.47+1353.11+793.71+554.12+700.92+590.15</f>
        <v>10714.74</v>
      </c>
      <c r="I31" s="130">
        <f>580.45+902.36+835.8+1251.35+966.81+1051.43</f>
        <v>5588.2</v>
      </c>
      <c r="J31" s="170" t="s">
        <v>74</v>
      </c>
      <c r="K31" s="129" t="s">
        <v>294</v>
      </c>
      <c r="L31" s="129" t="s">
        <v>295</v>
      </c>
      <c r="M31" s="155" t="s">
        <v>591</v>
      </c>
      <c r="N31" s="155" t="s">
        <v>591</v>
      </c>
      <c r="O31" s="155" t="s">
        <v>591</v>
      </c>
      <c r="P31" s="155" t="s">
        <v>591</v>
      </c>
      <c r="Q31" s="155" t="s">
        <v>591</v>
      </c>
      <c r="R31" s="155" t="s">
        <v>591</v>
      </c>
      <c r="S31" s="155" t="s">
        <v>591</v>
      </c>
      <c r="T31" s="155" t="s">
        <v>591</v>
      </c>
      <c r="U31" s="155" t="s">
        <v>591</v>
      </c>
      <c r="V31" s="155" t="s">
        <v>591</v>
      </c>
      <c r="W31" s="155" t="s">
        <v>591</v>
      </c>
      <c r="X31" s="155" t="s">
        <v>591</v>
      </c>
      <c r="Y31" s="155" t="s">
        <v>591</v>
      </c>
      <c r="Z31" s="155" t="s">
        <v>591</v>
      </c>
      <c r="AA31" s="155" t="s">
        <v>591</v>
      </c>
      <c r="AB31" s="155" t="s">
        <v>591</v>
      </c>
      <c r="AC31" s="155" t="s">
        <v>591</v>
      </c>
      <c r="AD31" s="155" t="s">
        <v>591</v>
      </c>
      <c r="AE31" s="155" t="s">
        <v>591</v>
      </c>
      <c r="AF31" s="155" t="s">
        <v>591</v>
      </c>
      <c r="AG31" s="155" t="s">
        <v>591</v>
      </c>
      <c r="AH31" s="155" t="s">
        <v>591</v>
      </c>
      <c r="AI31" s="155" t="s">
        <v>591</v>
      </c>
      <c r="AJ31" s="155" t="s">
        <v>591</v>
      </c>
      <c r="AK31" s="155" t="s">
        <v>591</v>
      </c>
      <c r="AL31" s="155" t="s">
        <v>591</v>
      </c>
      <c r="AM31" s="155" t="s">
        <v>591</v>
      </c>
      <c r="AN31" s="155" t="s">
        <v>591</v>
      </c>
      <c r="AO31" s="155" t="s">
        <v>591</v>
      </c>
      <c r="AP31" s="155" t="s">
        <v>591</v>
      </c>
      <c r="AQ31" s="155" t="s">
        <v>591</v>
      </c>
      <c r="AR31" s="155" t="s">
        <v>591</v>
      </c>
      <c r="AS31" s="155" t="s">
        <v>591</v>
      </c>
      <c r="AT31" s="155" t="s">
        <v>591</v>
      </c>
      <c r="AU31" s="155" t="s">
        <v>591</v>
      </c>
      <c r="AV31" s="155" t="s">
        <v>591</v>
      </c>
      <c r="AW31" s="155" t="s">
        <v>591</v>
      </c>
      <c r="AX31" s="155" t="s">
        <v>591</v>
      </c>
      <c r="AY31" s="155" t="s">
        <v>591</v>
      </c>
      <c r="AZ31" s="155" t="s">
        <v>591</v>
      </c>
      <c r="BA31" s="155" t="s">
        <v>591</v>
      </c>
      <c r="BB31" s="155" t="s">
        <v>591</v>
      </c>
      <c r="BC31" s="155" t="s">
        <v>591</v>
      </c>
      <c r="BD31" s="155" t="s">
        <v>591</v>
      </c>
      <c r="BE31" s="155" t="s">
        <v>591</v>
      </c>
      <c r="BF31" s="155" t="s">
        <v>591</v>
      </c>
      <c r="BG31" s="155" t="s">
        <v>591</v>
      </c>
      <c r="BH31" s="155" t="s">
        <v>591</v>
      </c>
      <c r="BI31" s="155" t="s">
        <v>591</v>
      </c>
      <c r="BJ31" s="155" t="s">
        <v>591</v>
      </c>
      <c r="BK31" s="155" t="s">
        <v>591</v>
      </c>
      <c r="BL31" s="155" t="s">
        <v>591</v>
      </c>
      <c r="BM31" s="155" t="s">
        <v>591</v>
      </c>
      <c r="BN31" s="155" t="s">
        <v>591</v>
      </c>
      <c r="BO31" s="155" t="s">
        <v>591</v>
      </c>
      <c r="BP31" s="155" t="s">
        <v>591</v>
      </c>
      <c r="BQ31" s="155" t="s">
        <v>591</v>
      </c>
      <c r="BR31" s="155" t="s">
        <v>591</v>
      </c>
      <c r="BS31" s="155" t="s">
        <v>591</v>
      </c>
      <c r="BT31" s="155" t="s">
        <v>591</v>
      </c>
      <c r="BU31" s="155" t="s">
        <v>591</v>
      </c>
      <c r="BV31" s="155" t="s">
        <v>591</v>
      </c>
      <c r="BW31" s="155" t="s">
        <v>591</v>
      </c>
      <c r="BX31" s="155" t="s">
        <v>591</v>
      </c>
      <c r="BY31" s="155" t="s">
        <v>591</v>
      </c>
      <c r="BZ31" s="155" t="s">
        <v>591</v>
      </c>
      <c r="CA31" s="155" t="s">
        <v>591</v>
      </c>
      <c r="CB31" s="155" t="s">
        <v>591</v>
      </c>
      <c r="CC31" s="155" t="s">
        <v>591</v>
      </c>
      <c r="CD31" s="155" t="s">
        <v>591</v>
      </c>
    </row>
    <row r="32" spans="1:82" s="2" customFormat="1" ht="45" x14ac:dyDescent="0.25">
      <c r="A32" s="128">
        <v>42377</v>
      </c>
      <c r="B32" s="145" t="s">
        <v>588</v>
      </c>
      <c r="C32" s="129" t="s">
        <v>200</v>
      </c>
      <c r="D32" s="129" t="s">
        <v>218</v>
      </c>
      <c r="E32" s="129" t="s">
        <v>234</v>
      </c>
      <c r="F32" s="129" t="s">
        <v>603</v>
      </c>
      <c r="G32" s="129" t="s">
        <v>256</v>
      </c>
      <c r="H32" s="130">
        <f>5328.07*12</f>
        <v>63936.84</v>
      </c>
      <c r="I32" s="130">
        <f>5328.07+5328.07+5730.49+5730.49+5730.49+5730.49+5730.49</f>
        <v>39308.589999999989</v>
      </c>
      <c r="J32" s="170" t="s">
        <v>74</v>
      </c>
      <c r="K32" s="131" t="s">
        <v>379</v>
      </c>
      <c r="L32" s="131" t="s">
        <v>380</v>
      </c>
      <c r="M32" s="131" t="s">
        <v>383</v>
      </c>
      <c r="N32" s="131" t="s">
        <v>384</v>
      </c>
      <c r="O32" s="131" t="s">
        <v>385</v>
      </c>
      <c r="P32" s="131" t="s">
        <v>386</v>
      </c>
      <c r="Q32" s="131" t="s">
        <v>396</v>
      </c>
      <c r="R32" s="131" t="s">
        <v>397</v>
      </c>
      <c r="S32" s="131" t="s">
        <v>409</v>
      </c>
      <c r="T32" s="131" t="s">
        <v>410</v>
      </c>
      <c r="U32" s="131" t="s">
        <v>412</v>
      </c>
      <c r="V32" s="131" t="s">
        <v>413</v>
      </c>
      <c r="W32" s="131" t="s">
        <v>492</v>
      </c>
      <c r="X32" s="131" t="s">
        <v>493</v>
      </c>
      <c r="Y32" s="131" t="s">
        <v>584</v>
      </c>
      <c r="Z32" s="160" t="s">
        <v>494</v>
      </c>
      <c r="AA32" s="155" t="s">
        <v>591</v>
      </c>
      <c r="AB32" s="155" t="s">
        <v>591</v>
      </c>
      <c r="AC32" s="155" t="s">
        <v>591</v>
      </c>
      <c r="AD32" s="155" t="s">
        <v>591</v>
      </c>
      <c r="AE32" s="155" t="s">
        <v>591</v>
      </c>
      <c r="AF32" s="155" t="s">
        <v>591</v>
      </c>
      <c r="AG32" s="155" t="s">
        <v>591</v>
      </c>
      <c r="AH32" s="155" t="s">
        <v>591</v>
      </c>
      <c r="AI32" s="155" t="s">
        <v>591</v>
      </c>
      <c r="AJ32" s="155" t="s">
        <v>591</v>
      </c>
      <c r="AK32" s="155" t="s">
        <v>591</v>
      </c>
      <c r="AL32" s="155" t="s">
        <v>591</v>
      </c>
      <c r="AM32" s="155" t="s">
        <v>591</v>
      </c>
      <c r="AN32" s="155" t="s">
        <v>591</v>
      </c>
      <c r="AO32" s="155" t="s">
        <v>591</v>
      </c>
      <c r="AP32" s="155" t="s">
        <v>591</v>
      </c>
      <c r="AQ32" s="155" t="s">
        <v>591</v>
      </c>
      <c r="AR32" s="155" t="s">
        <v>591</v>
      </c>
      <c r="AS32" s="155" t="s">
        <v>591</v>
      </c>
      <c r="AT32" s="155" t="s">
        <v>591</v>
      </c>
      <c r="AU32" s="155" t="s">
        <v>591</v>
      </c>
      <c r="AV32" s="155" t="s">
        <v>591</v>
      </c>
      <c r="AW32" s="155" t="s">
        <v>591</v>
      </c>
      <c r="AX32" s="155" t="s">
        <v>591</v>
      </c>
      <c r="AY32" s="155" t="s">
        <v>591</v>
      </c>
      <c r="AZ32" s="155" t="s">
        <v>591</v>
      </c>
      <c r="BA32" s="155" t="s">
        <v>591</v>
      </c>
      <c r="BB32" s="155" t="s">
        <v>591</v>
      </c>
      <c r="BC32" s="155" t="s">
        <v>591</v>
      </c>
      <c r="BD32" s="155" t="s">
        <v>591</v>
      </c>
      <c r="BE32" s="155" t="s">
        <v>591</v>
      </c>
      <c r="BF32" s="155" t="s">
        <v>591</v>
      </c>
      <c r="BG32" s="155" t="s">
        <v>591</v>
      </c>
      <c r="BH32" s="155" t="s">
        <v>591</v>
      </c>
      <c r="BI32" s="155" t="s">
        <v>591</v>
      </c>
      <c r="BJ32" s="155" t="s">
        <v>591</v>
      </c>
      <c r="BK32" s="155" t="s">
        <v>591</v>
      </c>
      <c r="BL32" s="155" t="s">
        <v>591</v>
      </c>
      <c r="BM32" s="155" t="s">
        <v>591</v>
      </c>
      <c r="BN32" s="155" t="s">
        <v>591</v>
      </c>
      <c r="BO32" s="155" t="s">
        <v>591</v>
      </c>
      <c r="BP32" s="155" t="s">
        <v>591</v>
      </c>
      <c r="BQ32" s="155" t="s">
        <v>591</v>
      </c>
      <c r="BR32" s="155" t="s">
        <v>591</v>
      </c>
      <c r="BS32" s="155" t="s">
        <v>591</v>
      </c>
      <c r="BT32" s="155" t="s">
        <v>591</v>
      </c>
      <c r="BU32" s="155" t="s">
        <v>591</v>
      </c>
      <c r="BV32" s="155" t="s">
        <v>591</v>
      </c>
      <c r="BW32" s="155" t="s">
        <v>591</v>
      </c>
      <c r="BX32" s="155" t="s">
        <v>591</v>
      </c>
      <c r="BY32" s="155" t="s">
        <v>591</v>
      </c>
      <c r="BZ32" s="155" t="s">
        <v>591</v>
      </c>
      <c r="CA32" s="155" t="s">
        <v>591</v>
      </c>
      <c r="CB32" s="155" t="s">
        <v>591</v>
      </c>
      <c r="CC32" s="155" t="s">
        <v>591</v>
      </c>
      <c r="CD32" s="155" t="s">
        <v>591</v>
      </c>
    </row>
    <row r="33" spans="1:82" s="158" customFormat="1" ht="50.1" customHeight="1" x14ac:dyDescent="0.25">
      <c r="A33" s="162">
        <v>42346</v>
      </c>
      <c r="B33" s="156" t="s">
        <v>340</v>
      </c>
      <c r="C33" s="157" t="s">
        <v>214</v>
      </c>
      <c r="D33" s="157" t="s">
        <v>231</v>
      </c>
      <c r="E33" s="157" t="s">
        <v>252</v>
      </c>
      <c r="F33" s="157" t="s">
        <v>601</v>
      </c>
      <c r="G33" s="157" t="s">
        <v>283</v>
      </c>
      <c r="H33" s="159">
        <v>3901.39</v>
      </c>
      <c r="I33" s="159">
        <f>300.1*6</f>
        <v>1800.6000000000001</v>
      </c>
      <c r="J33" s="172" t="s">
        <v>74</v>
      </c>
      <c r="K33" s="157" t="s">
        <v>317</v>
      </c>
      <c r="L33" s="157" t="s">
        <v>318</v>
      </c>
      <c r="M33" s="157" t="s">
        <v>319</v>
      </c>
      <c r="N33" s="157" t="s">
        <v>320</v>
      </c>
      <c r="O33" s="155" t="s">
        <v>591</v>
      </c>
      <c r="P33" s="155" t="s">
        <v>591</v>
      </c>
      <c r="Q33" s="155" t="s">
        <v>591</v>
      </c>
      <c r="R33" s="155" t="s">
        <v>591</v>
      </c>
      <c r="S33" s="155" t="s">
        <v>591</v>
      </c>
      <c r="T33" s="155" t="s">
        <v>591</v>
      </c>
      <c r="U33" s="155" t="s">
        <v>591</v>
      </c>
      <c r="V33" s="155" t="s">
        <v>591</v>
      </c>
      <c r="W33" s="155" t="s">
        <v>591</v>
      </c>
      <c r="X33" s="155" t="s">
        <v>591</v>
      </c>
      <c r="Y33" s="155" t="s">
        <v>591</v>
      </c>
      <c r="Z33" s="155" t="s">
        <v>591</v>
      </c>
      <c r="AA33" s="155" t="s">
        <v>591</v>
      </c>
      <c r="AB33" s="155" t="s">
        <v>591</v>
      </c>
      <c r="AC33" s="155" t="s">
        <v>591</v>
      </c>
      <c r="AD33" s="155" t="s">
        <v>591</v>
      </c>
      <c r="AE33" s="155" t="s">
        <v>591</v>
      </c>
      <c r="AF33" s="155" t="s">
        <v>591</v>
      </c>
      <c r="AG33" s="155" t="s">
        <v>591</v>
      </c>
      <c r="AH33" s="155" t="s">
        <v>591</v>
      </c>
      <c r="AI33" s="155" t="s">
        <v>591</v>
      </c>
      <c r="AJ33" s="155" t="s">
        <v>591</v>
      </c>
      <c r="AK33" s="155" t="s">
        <v>591</v>
      </c>
      <c r="AL33" s="155" t="s">
        <v>591</v>
      </c>
      <c r="AM33" s="155" t="s">
        <v>591</v>
      </c>
      <c r="AN33" s="155" t="s">
        <v>591</v>
      </c>
      <c r="AO33" s="155" t="s">
        <v>591</v>
      </c>
      <c r="AP33" s="155" t="s">
        <v>591</v>
      </c>
      <c r="AQ33" s="155" t="s">
        <v>591</v>
      </c>
      <c r="AR33" s="155" t="s">
        <v>591</v>
      </c>
      <c r="AS33" s="155" t="s">
        <v>591</v>
      </c>
      <c r="AT33" s="155" t="s">
        <v>591</v>
      </c>
      <c r="AU33" s="155" t="s">
        <v>591</v>
      </c>
      <c r="AV33" s="155" t="s">
        <v>591</v>
      </c>
      <c r="AW33" s="155" t="s">
        <v>591</v>
      </c>
      <c r="AX33" s="155" t="s">
        <v>591</v>
      </c>
      <c r="AY33" s="155" t="s">
        <v>591</v>
      </c>
      <c r="AZ33" s="155" t="s">
        <v>591</v>
      </c>
      <c r="BA33" s="155" t="s">
        <v>591</v>
      </c>
      <c r="BB33" s="155" t="s">
        <v>591</v>
      </c>
      <c r="BC33" s="155" t="s">
        <v>591</v>
      </c>
      <c r="BD33" s="155" t="s">
        <v>591</v>
      </c>
      <c r="BE33" s="155" t="s">
        <v>591</v>
      </c>
      <c r="BF33" s="155" t="s">
        <v>591</v>
      </c>
      <c r="BG33" s="155" t="s">
        <v>591</v>
      </c>
      <c r="BH33" s="155" t="s">
        <v>591</v>
      </c>
      <c r="BI33" s="155" t="s">
        <v>591</v>
      </c>
      <c r="BJ33" s="155" t="s">
        <v>591</v>
      </c>
      <c r="BK33" s="155" t="s">
        <v>591</v>
      </c>
      <c r="BL33" s="155" t="s">
        <v>591</v>
      </c>
      <c r="BM33" s="155" t="s">
        <v>591</v>
      </c>
      <c r="BN33" s="155" t="s">
        <v>591</v>
      </c>
      <c r="BO33" s="155" t="s">
        <v>591</v>
      </c>
      <c r="BP33" s="155" t="s">
        <v>591</v>
      </c>
      <c r="BQ33" s="155" t="s">
        <v>591</v>
      </c>
      <c r="BR33" s="155" t="s">
        <v>591</v>
      </c>
      <c r="BS33" s="155" t="s">
        <v>591</v>
      </c>
      <c r="BT33" s="155" t="s">
        <v>591</v>
      </c>
      <c r="BU33" s="155" t="s">
        <v>591</v>
      </c>
      <c r="BV33" s="155" t="s">
        <v>591</v>
      </c>
      <c r="BW33" s="155" t="s">
        <v>591</v>
      </c>
      <c r="BX33" s="155" t="s">
        <v>591</v>
      </c>
      <c r="BY33" s="155" t="s">
        <v>591</v>
      </c>
      <c r="BZ33" s="155" t="s">
        <v>591</v>
      </c>
      <c r="CA33" s="155" t="s">
        <v>591</v>
      </c>
      <c r="CB33" s="155" t="s">
        <v>591</v>
      </c>
      <c r="CC33" s="155" t="s">
        <v>591</v>
      </c>
      <c r="CD33" s="155" t="s">
        <v>591</v>
      </c>
    </row>
    <row r="34" spans="1:82" s="2" customFormat="1" ht="33.75" x14ac:dyDescent="0.25">
      <c r="A34" s="127">
        <v>43840</v>
      </c>
      <c r="B34" s="145" t="s">
        <v>341</v>
      </c>
      <c r="C34" s="129" t="s">
        <v>215</v>
      </c>
      <c r="D34" s="129" t="s">
        <v>232</v>
      </c>
      <c r="E34" s="129" t="s">
        <v>253</v>
      </c>
      <c r="F34" s="173" t="s">
        <v>589</v>
      </c>
      <c r="G34" s="129" t="s">
        <v>267</v>
      </c>
      <c r="H34" s="148">
        <v>0</v>
      </c>
      <c r="I34" s="130">
        <f>0</f>
        <v>0</v>
      </c>
      <c r="J34" s="170" t="s">
        <v>74</v>
      </c>
      <c r="K34" s="129" t="s">
        <v>321</v>
      </c>
      <c r="L34" s="129" t="s">
        <v>322</v>
      </c>
      <c r="M34" s="155" t="s">
        <v>591</v>
      </c>
      <c r="N34" s="155" t="s">
        <v>591</v>
      </c>
      <c r="O34" s="155" t="s">
        <v>591</v>
      </c>
      <c r="P34" s="155" t="s">
        <v>591</v>
      </c>
      <c r="Q34" s="155" t="s">
        <v>591</v>
      </c>
      <c r="R34" s="155" t="s">
        <v>591</v>
      </c>
      <c r="S34" s="155" t="s">
        <v>591</v>
      </c>
      <c r="T34" s="155" t="s">
        <v>591</v>
      </c>
      <c r="U34" s="155" t="s">
        <v>591</v>
      </c>
      <c r="V34" s="155" t="s">
        <v>591</v>
      </c>
      <c r="W34" s="155" t="s">
        <v>591</v>
      </c>
      <c r="X34" s="155" t="s">
        <v>591</v>
      </c>
      <c r="Y34" s="155" t="s">
        <v>591</v>
      </c>
      <c r="Z34" s="155" t="s">
        <v>591</v>
      </c>
      <c r="AA34" s="155" t="s">
        <v>591</v>
      </c>
      <c r="AB34" s="155" t="s">
        <v>591</v>
      </c>
      <c r="AC34" s="155" t="s">
        <v>591</v>
      </c>
      <c r="AD34" s="155" t="s">
        <v>591</v>
      </c>
      <c r="AE34" s="155" t="s">
        <v>591</v>
      </c>
      <c r="AF34" s="155" t="s">
        <v>591</v>
      </c>
      <c r="AG34" s="155" t="s">
        <v>591</v>
      </c>
      <c r="AH34" s="155" t="s">
        <v>591</v>
      </c>
      <c r="AI34" s="155" t="s">
        <v>591</v>
      </c>
      <c r="AJ34" s="155" t="s">
        <v>591</v>
      </c>
      <c r="AK34" s="155" t="s">
        <v>591</v>
      </c>
      <c r="AL34" s="155" t="s">
        <v>591</v>
      </c>
      <c r="AM34" s="155" t="s">
        <v>591</v>
      </c>
      <c r="AN34" s="155" t="s">
        <v>591</v>
      </c>
      <c r="AO34" s="155" t="s">
        <v>591</v>
      </c>
      <c r="AP34" s="155" t="s">
        <v>591</v>
      </c>
      <c r="AQ34" s="155" t="s">
        <v>591</v>
      </c>
      <c r="AR34" s="155" t="s">
        <v>591</v>
      </c>
      <c r="AS34" s="155" t="s">
        <v>591</v>
      </c>
      <c r="AT34" s="155" t="s">
        <v>591</v>
      </c>
      <c r="AU34" s="155" t="s">
        <v>591</v>
      </c>
      <c r="AV34" s="155" t="s">
        <v>591</v>
      </c>
      <c r="AW34" s="155" t="s">
        <v>591</v>
      </c>
      <c r="AX34" s="155" t="s">
        <v>591</v>
      </c>
      <c r="AY34" s="155" t="s">
        <v>591</v>
      </c>
      <c r="AZ34" s="155" t="s">
        <v>591</v>
      </c>
      <c r="BA34" s="155" t="s">
        <v>591</v>
      </c>
      <c r="BB34" s="155" t="s">
        <v>591</v>
      </c>
      <c r="BC34" s="155" t="s">
        <v>591</v>
      </c>
      <c r="BD34" s="155" t="s">
        <v>591</v>
      </c>
      <c r="BE34" s="155" t="s">
        <v>591</v>
      </c>
      <c r="BF34" s="155" t="s">
        <v>591</v>
      </c>
      <c r="BG34" s="155" t="s">
        <v>591</v>
      </c>
      <c r="BH34" s="155" t="s">
        <v>591</v>
      </c>
      <c r="BI34" s="155" t="s">
        <v>591</v>
      </c>
      <c r="BJ34" s="155" t="s">
        <v>591</v>
      </c>
      <c r="BK34" s="155" t="s">
        <v>591</v>
      </c>
      <c r="BL34" s="155" t="s">
        <v>591</v>
      </c>
      <c r="BM34" s="155" t="s">
        <v>591</v>
      </c>
      <c r="BN34" s="155" t="s">
        <v>591</v>
      </c>
      <c r="BO34" s="155" t="s">
        <v>591</v>
      </c>
      <c r="BP34" s="155" t="s">
        <v>591</v>
      </c>
      <c r="BQ34" s="155" t="s">
        <v>591</v>
      </c>
      <c r="BR34" s="155" t="s">
        <v>591</v>
      </c>
      <c r="BS34" s="155" t="s">
        <v>591</v>
      </c>
      <c r="BT34" s="155" t="s">
        <v>591</v>
      </c>
      <c r="BU34" s="155" t="s">
        <v>591</v>
      </c>
      <c r="BV34" s="155" t="s">
        <v>591</v>
      </c>
      <c r="BW34" s="155" t="s">
        <v>591</v>
      </c>
      <c r="BX34" s="155" t="s">
        <v>591</v>
      </c>
      <c r="BY34" s="155" t="s">
        <v>591</v>
      </c>
      <c r="BZ34" s="155" t="s">
        <v>591</v>
      </c>
      <c r="CA34" s="155" t="s">
        <v>591</v>
      </c>
      <c r="CB34" s="155" t="s">
        <v>591</v>
      </c>
      <c r="CC34" s="155" t="s">
        <v>591</v>
      </c>
      <c r="CD34" s="155" t="s">
        <v>591</v>
      </c>
    </row>
    <row r="35" spans="1:82" s="158" customFormat="1" ht="57.75" customHeight="1" x14ac:dyDescent="0.25">
      <c r="A35" s="155">
        <v>43388</v>
      </c>
      <c r="B35" s="156" t="s">
        <v>338</v>
      </c>
      <c r="C35" s="157" t="s">
        <v>213</v>
      </c>
      <c r="D35" s="157" t="s">
        <v>230</v>
      </c>
      <c r="E35" s="157" t="s">
        <v>251</v>
      </c>
      <c r="F35" s="173" t="s">
        <v>589</v>
      </c>
      <c r="G35" s="157" t="s">
        <v>281</v>
      </c>
      <c r="H35" s="161">
        <v>0</v>
      </c>
      <c r="I35" s="159">
        <f>0</f>
        <v>0</v>
      </c>
      <c r="J35" s="169" t="s">
        <v>569</v>
      </c>
      <c r="K35" s="157" t="s">
        <v>315</v>
      </c>
      <c r="L35" s="157" t="s">
        <v>316</v>
      </c>
      <c r="M35" s="155" t="s">
        <v>591</v>
      </c>
      <c r="N35" s="155" t="s">
        <v>591</v>
      </c>
      <c r="O35" s="155" t="s">
        <v>591</v>
      </c>
      <c r="P35" s="155" t="s">
        <v>591</v>
      </c>
      <c r="Q35" s="155" t="s">
        <v>591</v>
      </c>
      <c r="R35" s="155" t="s">
        <v>591</v>
      </c>
      <c r="S35" s="155" t="s">
        <v>591</v>
      </c>
      <c r="T35" s="155" t="s">
        <v>591</v>
      </c>
      <c r="U35" s="155" t="s">
        <v>591</v>
      </c>
      <c r="V35" s="155" t="s">
        <v>591</v>
      </c>
      <c r="W35" s="155" t="s">
        <v>591</v>
      </c>
      <c r="X35" s="155" t="s">
        <v>591</v>
      </c>
      <c r="Y35" s="155" t="s">
        <v>591</v>
      </c>
      <c r="Z35" s="155" t="s">
        <v>591</v>
      </c>
      <c r="AA35" s="155" t="s">
        <v>591</v>
      </c>
      <c r="AB35" s="155" t="s">
        <v>591</v>
      </c>
      <c r="AC35" s="155" t="s">
        <v>591</v>
      </c>
      <c r="AD35" s="155" t="s">
        <v>591</v>
      </c>
      <c r="AE35" s="155" t="s">
        <v>591</v>
      </c>
      <c r="AF35" s="155" t="s">
        <v>591</v>
      </c>
      <c r="AG35" s="155" t="s">
        <v>591</v>
      </c>
      <c r="AH35" s="155" t="s">
        <v>591</v>
      </c>
      <c r="AI35" s="155" t="s">
        <v>591</v>
      </c>
      <c r="AJ35" s="155" t="s">
        <v>591</v>
      </c>
      <c r="AK35" s="155" t="s">
        <v>591</v>
      </c>
      <c r="AL35" s="155" t="s">
        <v>591</v>
      </c>
      <c r="AM35" s="155" t="s">
        <v>591</v>
      </c>
      <c r="AN35" s="155" t="s">
        <v>591</v>
      </c>
      <c r="AO35" s="155" t="s">
        <v>591</v>
      </c>
      <c r="AP35" s="155" t="s">
        <v>591</v>
      </c>
      <c r="AQ35" s="155" t="s">
        <v>591</v>
      </c>
      <c r="AR35" s="155" t="s">
        <v>591</v>
      </c>
      <c r="AS35" s="155" t="s">
        <v>591</v>
      </c>
      <c r="AT35" s="155" t="s">
        <v>591</v>
      </c>
      <c r="AU35" s="155" t="s">
        <v>591</v>
      </c>
      <c r="AV35" s="155" t="s">
        <v>591</v>
      </c>
      <c r="AW35" s="155" t="s">
        <v>591</v>
      </c>
      <c r="AX35" s="155" t="s">
        <v>591</v>
      </c>
      <c r="AY35" s="155" t="s">
        <v>591</v>
      </c>
      <c r="AZ35" s="155" t="s">
        <v>591</v>
      </c>
      <c r="BA35" s="155" t="s">
        <v>591</v>
      </c>
      <c r="BB35" s="155" t="s">
        <v>591</v>
      </c>
      <c r="BC35" s="155" t="s">
        <v>591</v>
      </c>
      <c r="BD35" s="155" t="s">
        <v>591</v>
      </c>
      <c r="BE35" s="155" t="s">
        <v>591</v>
      </c>
      <c r="BF35" s="155" t="s">
        <v>591</v>
      </c>
      <c r="BG35" s="155" t="s">
        <v>591</v>
      </c>
      <c r="BH35" s="155" t="s">
        <v>591</v>
      </c>
      <c r="BI35" s="155" t="s">
        <v>591</v>
      </c>
      <c r="BJ35" s="155" t="s">
        <v>591</v>
      </c>
      <c r="BK35" s="155" t="s">
        <v>591</v>
      </c>
      <c r="BL35" s="155" t="s">
        <v>591</v>
      </c>
      <c r="BM35" s="155" t="s">
        <v>591</v>
      </c>
      <c r="BN35" s="155" t="s">
        <v>591</v>
      </c>
      <c r="BO35" s="155" t="s">
        <v>591</v>
      </c>
      <c r="BP35" s="155" t="s">
        <v>591</v>
      </c>
      <c r="BQ35" s="155" t="s">
        <v>591</v>
      </c>
      <c r="BR35" s="155" t="s">
        <v>591</v>
      </c>
      <c r="BS35" s="155" t="s">
        <v>591</v>
      </c>
      <c r="BT35" s="155" t="s">
        <v>591</v>
      </c>
      <c r="BU35" s="155" t="s">
        <v>591</v>
      </c>
      <c r="BV35" s="155" t="s">
        <v>591</v>
      </c>
      <c r="BW35" s="155" t="s">
        <v>591</v>
      </c>
      <c r="BX35" s="155" t="s">
        <v>591</v>
      </c>
      <c r="BY35" s="155" t="s">
        <v>591</v>
      </c>
      <c r="BZ35" s="155" t="s">
        <v>591</v>
      </c>
      <c r="CA35" s="155" t="s">
        <v>591</v>
      </c>
      <c r="CB35" s="155" t="s">
        <v>591</v>
      </c>
      <c r="CC35" s="155" t="s">
        <v>591</v>
      </c>
      <c r="CD35" s="155" t="s">
        <v>591</v>
      </c>
    </row>
    <row r="36" spans="1:82" s="158" customFormat="1" ht="48.75" customHeight="1" x14ac:dyDescent="0.25">
      <c r="A36" s="162">
        <v>43752</v>
      </c>
      <c r="B36" s="156" t="s">
        <v>199</v>
      </c>
      <c r="C36" s="163" t="s">
        <v>139</v>
      </c>
      <c r="D36" s="157" t="s">
        <v>143</v>
      </c>
      <c r="E36" s="157" t="s">
        <v>150</v>
      </c>
      <c r="F36" s="157" t="s">
        <v>156</v>
      </c>
      <c r="G36" s="157" t="s">
        <v>265</v>
      </c>
      <c r="H36" s="159">
        <f>47080.2+48649.54+48649.54+45870.44+50785.12+49146.9+50785.13+49146.9+50785.13+50785.13+49146.9+50785.13</f>
        <v>591616.06000000006</v>
      </c>
      <c r="I36" s="159">
        <f>50785.13+53477.17+49751.53+57890.41+62785.2+49146.9</f>
        <v>323836.34000000003</v>
      </c>
      <c r="J36" s="169" t="s">
        <v>74</v>
      </c>
      <c r="K36" s="157" t="s">
        <v>169</v>
      </c>
      <c r="L36" s="157" t="s">
        <v>170</v>
      </c>
      <c r="M36" s="155" t="s">
        <v>591</v>
      </c>
      <c r="N36" s="155" t="s">
        <v>591</v>
      </c>
      <c r="O36" s="155" t="s">
        <v>591</v>
      </c>
      <c r="P36" s="155" t="s">
        <v>591</v>
      </c>
      <c r="Q36" s="155" t="s">
        <v>591</v>
      </c>
      <c r="R36" s="155" t="s">
        <v>591</v>
      </c>
      <c r="S36" s="155" t="s">
        <v>591</v>
      </c>
      <c r="T36" s="155" t="s">
        <v>591</v>
      </c>
      <c r="U36" s="155" t="s">
        <v>591</v>
      </c>
      <c r="V36" s="155" t="s">
        <v>591</v>
      </c>
      <c r="W36" s="155" t="s">
        <v>591</v>
      </c>
      <c r="X36" s="155" t="s">
        <v>591</v>
      </c>
      <c r="Y36" s="155" t="s">
        <v>591</v>
      </c>
      <c r="Z36" s="155" t="s">
        <v>591</v>
      </c>
      <c r="AA36" s="155" t="s">
        <v>591</v>
      </c>
      <c r="AB36" s="155" t="s">
        <v>591</v>
      </c>
      <c r="AC36" s="155" t="s">
        <v>591</v>
      </c>
      <c r="AD36" s="155" t="s">
        <v>591</v>
      </c>
      <c r="AE36" s="155" t="s">
        <v>591</v>
      </c>
      <c r="AF36" s="155" t="s">
        <v>591</v>
      </c>
      <c r="AG36" s="155" t="s">
        <v>591</v>
      </c>
      <c r="AH36" s="155" t="s">
        <v>591</v>
      </c>
      <c r="AI36" s="155" t="s">
        <v>591</v>
      </c>
      <c r="AJ36" s="155" t="s">
        <v>591</v>
      </c>
      <c r="AK36" s="155" t="s">
        <v>591</v>
      </c>
      <c r="AL36" s="155" t="s">
        <v>591</v>
      </c>
      <c r="AM36" s="155" t="s">
        <v>591</v>
      </c>
      <c r="AN36" s="155" t="s">
        <v>591</v>
      </c>
      <c r="AO36" s="155" t="s">
        <v>591</v>
      </c>
      <c r="AP36" s="155" t="s">
        <v>591</v>
      </c>
      <c r="AQ36" s="155" t="s">
        <v>591</v>
      </c>
      <c r="AR36" s="155" t="s">
        <v>591</v>
      </c>
      <c r="AS36" s="155" t="s">
        <v>591</v>
      </c>
      <c r="AT36" s="155" t="s">
        <v>591</v>
      </c>
      <c r="AU36" s="155" t="s">
        <v>591</v>
      </c>
      <c r="AV36" s="155" t="s">
        <v>591</v>
      </c>
      <c r="AW36" s="155" t="s">
        <v>591</v>
      </c>
      <c r="AX36" s="155" t="s">
        <v>591</v>
      </c>
      <c r="AY36" s="155" t="s">
        <v>591</v>
      </c>
      <c r="AZ36" s="155" t="s">
        <v>591</v>
      </c>
      <c r="BA36" s="155" t="s">
        <v>591</v>
      </c>
      <c r="BB36" s="155" t="s">
        <v>591</v>
      </c>
      <c r="BC36" s="155" t="s">
        <v>591</v>
      </c>
      <c r="BD36" s="155" t="s">
        <v>591</v>
      </c>
      <c r="BE36" s="155" t="s">
        <v>591</v>
      </c>
      <c r="BF36" s="155" t="s">
        <v>591</v>
      </c>
      <c r="BG36" s="155" t="s">
        <v>591</v>
      </c>
      <c r="BH36" s="155" t="s">
        <v>591</v>
      </c>
      <c r="BI36" s="155" t="s">
        <v>591</v>
      </c>
      <c r="BJ36" s="155" t="s">
        <v>591</v>
      </c>
      <c r="BK36" s="155" t="s">
        <v>591</v>
      </c>
      <c r="BL36" s="155" t="s">
        <v>591</v>
      </c>
      <c r="BM36" s="155" t="s">
        <v>591</v>
      </c>
      <c r="BN36" s="155" t="s">
        <v>591</v>
      </c>
      <c r="BO36" s="155" t="s">
        <v>591</v>
      </c>
      <c r="BP36" s="155" t="s">
        <v>591</v>
      </c>
      <c r="BQ36" s="155" t="s">
        <v>591</v>
      </c>
      <c r="BR36" s="155" t="s">
        <v>591</v>
      </c>
      <c r="BS36" s="155" t="s">
        <v>591</v>
      </c>
      <c r="BT36" s="155" t="s">
        <v>591</v>
      </c>
      <c r="BU36" s="155" t="s">
        <v>591</v>
      </c>
      <c r="BV36" s="155" t="s">
        <v>591</v>
      </c>
      <c r="BW36" s="155" t="s">
        <v>591</v>
      </c>
      <c r="BX36" s="155" t="s">
        <v>591</v>
      </c>
      <c r="BY36" s="155" t="s">
        <v>591</v>
      </c>
      <c r="BZ36" s="155" t="s">
        <v>591</v>
      </c>
      <c r="CA36" s="155" t="s">
        <v>591</v>
      </c>
      <c r="CB36" s="155" t="s">
        <v>591</v>
      </c>
      <c r="CC36" s="155" t="s">
        <v>591</v>
      </c>
      <c r="CD36" s="155" t="s">
        <v>591</v>
      </c>
    </row>
    <row r="37" spans="1:82" s="2" customFormat="1" ht="50.1" customHeight="1" x14ac:dyDescent="0.25">
      <c r="A37" s="12">
        <v>43530</v>
      </c>
      <c r="B37" s="124" t="s">
        <v>535</v>
      </c>
      <c r="C37" s="129" t="s">
        <v>217</v>
      </c>
      <c r="D37" s="5" t="s">
        <v>12</v>
      </c>
      <c r="E37" s="5" t="s">
        <v>52</v>
      </c>
      <c r="F37" s="5" t="s">
        <v>54</v>
      </c>
      <c r="G37" s="129" t="s">
        <v>285</v>
      </c>
      <c r="H37" s="13">
        <f>768+768+384+384+384+384+384+384+847.44+384+384+24.9+384+384+384+384+384+862.8+384+384+384+468.56+726.2+384+384+384+384+384+384+473.68+384+384+384+768+401.43+478.8+384+384+384+478.8+478.8+384+384+384+17.43+384+384+384+384+384+862.8+862.8+384+384+384+24.9+768+384+862.8+396.45+478.8+384+862.8+384+384+768+384+384+384+384+384+384+384+384+408.9+384+478.8+187.52+384+384+384+384+384+384+408.9+384+573.6+384+384+384+384+384+768+478.8+726.2+198+198+198+198+198+207.18+207.18+207.18+207.18+11.51+207.18+11.51+207.18+11.51+804+402+804+768+768+384+768+384+94.8+384+768+768+384+402+501.2+859.35+402+402+830.06+402+501.2+804+402+501.2+402+428.06+804+501.2+402+402+428.06+859.35+402+402+501.2+402+402+99.2+804+527.26+402+402+501.2+501.2+402+501.2+903.2+501.2+99.2+402+402+804+18.24+1261.35+501.2+402+402+804+428.06+402+527.26+402+804+501.2+402+1261.35+402+402+804+501.2+402+402+402+804+760.15+804+501.2+402+402+501.2+402+402+804+402+402+402+804+830.06+402+402+358.15+402+99.2+830.06+402+402+428.06+402+402+501.2+402+804+804+501.2+402+402</f>
        <v>99800.199999999924</v>
      </c>
      <c r="I37" s="130">
        <f>218.69+218.69+218.69+218.69+428.06+5852.45+8189.79+6254.46+7092.79+207.18+5994.42+4832.27</f>
        <v>39726.180000000008</v>
      </c>
      <c r="J37" s="50" t="s">
        <v>74</v>
      </c>
      <c r="K37" s="131" t="s">
        <v>496</v>
      </c>
      <c r="L37" s="131" t="s">
        <v>495</v>
      </c>
      <c r="M37" s="131" t="s">
        <v>498</v>
      </c>
      <c r="N37" s="131" t="s">
        <v>497</v>
      </c>
      <c r="O37" s="160" t="s">
        <v>583</v>
      </c>
      <c r="P37" s="160" t="s">
        <v>499</v>
      </c>
      <c r="Q37" s="131" t="s">
        <v>501</v>
      </c>
      <c r="R37" s="131" t="s">
        <v>500</v>
      </c>
      <c r="S37" s="131" t="s">
        <v>503</v>
      </c>
      <c r="T37" s="131" t="s">
        <v>502</v>
      </c>
      <c r="U37" s="131" t="s">
        <v>505</v>
      </c>
      <c r="V37" s="131" t="s">
        <v>504</v>
      </c>
      <c r="W37" s="155" t="s">
        <v>591</v>
      </c>
      <c r="X37" s="155" t="s">
        <v>591</v>
      </c>
      <c r="Y37" s="155" t="s">
        <v>591</v>
      </c>
      <c r="Z37" s="155" t="s">
        <v>591</v>
      </c>
      <c r="AA37" s="155" t="s">
        <v>591</v>
      </c>
      <c r="AB37" s="155" t="s">
        <v>591</v>
      </c>
      <c r="AC37" s="155" t="s">
        <v>591</v>
      </c>
      <c r="AD37" s="155" t="s">
        <v>591</v>
      </c>
      <c r="AE37" s="155" t="s">
        <v>591</v>
      </c>
      <c r="AF37" s="155" t="s">
        <v>591</v>
      </c>
      <c r="AG37" s="155" t="s">
        <v>591</v>
      </c>
      <c r="AH37" s="155" t="s">
        <v>591</v>
      </c>
      <c r="AI37" s="155" t="s">
        <v>591</v>
      </c>
      <c r="AJ37" s="155" t="s">
        <v>591</v>
      </c>
      <c r="AK37" s="155" t="s">
        <v>591</v>
      </c>
      <c r="AL37" s="155" t="s">
        <v>591</v>
      </c>
      <c r="AM37" s="155" t="s">
        <v>591</v>
      </c>
      <c r="AN37" s="155" t="s">
        <v>591</v>
      </c>
      <c r="AO37" s="155" t="s">
        <v>591</v>
      </c>
      <c r="AP37" s="155" t="s">
        <v>591</v>
      </c>
      <c r="AQ37" s="155" t="s">
        <v>591</v>
      </c>
      <c r="AR37" s="155" t="s">
        <v>591</v>
      </c>
      <c r="AS37" s="155" t="s">
        <v>591</v>
      </c>
      <c r="AT37" s="155" t="s">
        <v>591</v>
      </c>
      <c r="AU37" s="155" t="s">
        <v>591</v>
      </c>
      <c r="AV37" s="155" t="s">
        <v>591</v>
      </c>
      <c r="AW37" s="155" t="s">
        <v>591</v>
      </c>
      <c r="AX37" s="155" t="s">
        <v>591</v>
      </c>
      <c r="AY37" s="155" t="s">
        <v>591</v>
      </c>
      <c r="AZ37" s="155" t="s">
        <v>591</v>
      </c>
      <c r="BA37" s="155" t="s">
        <v>591</v>
      </c>
      <c r="BB37" s="155" t="s">
        <v>591</v>
      </c>
      <c r="BC37" s="155" t="s">
        <v>591</v>
      </c>
      <c r="BD37" s="155" t="s">
        <v>591</v>
      </c>
      <c r="BE37" s="155" t="s">
        <v>591</v>
      </c>
      <c r="BF37" s="155" t="s">
        <v>591</v>
      </c>
      <c r="BG37" s="155" t="s">
        <v>591</v>
      </c>
      <c r="BH37" s="155" t="s">
        <v>591</v>
      </c>
      <c r="BI37" s="155" t="s">
        <v>591</v>
      </c>
      <c r="BJ37" s="155" t="s">
        <v>591</v>
      </c>
      <c r="BK37" s="155" t="s">
        <v>591</v>
      </c>
      <c r="BL37" s="155" t="s">
        <v>591</v>
      </c>
      <c r="BM37" s="155" t="s">
        <v>591</v>
      </c>
      <c r="BN37" s="155" t="s">
        <v>591</v>
      </c>
      <c r="BO37" s="155" t="s">
        <v>591</v>
      </c>
      <c r="BP37" s="155" t="s">
        <v>591</v>
      </c>
      <c r="BQ37" s="155" t="s">
        <v>591</v>
      </c>
      <c r="BR37" s="155" t="s">
        <v>591</v>
      </c>
      <c r="BS37" s="155" t="s">
        <v>591</v>
      </c>
      <c r="BT37" s="155" t="s">
        <v>591</v>
      </c>
      <c r="BU37" s="155" t="s">
        <v>591</v>
      </c>
      <c r="BV37" s="155" t="s">
        <v>591</v>
      </c>
      <c r="BW37" s="155" t="s">
        <v>591</v>
      </c>
      <c r="BX37" s="155" t="s">
        <v>591</v>
      </c>
      <c r="BY37" s="155" t="s">
        <v>591</v>
      </c>
      <c r="BZ37" s="155" t="s">
        <v>591</v>
      </c>
      <c r="CA37" s="155" t="s">
        <v>591</v>
      </c>
      <c r="CB37" s="155" t="s">
        <v>591</v>
      </c>
      <c r="CC37" s="155" t="s">
        <v>591</v>
      </c>
      <c r="CD37" s="155" t="s">
        <v>591</v>
      </c>
    </row>
    <row r="38" spans="1:82" s="2" customFormat="1" ht="61.5" customHeight="1" x14ac:dyDescent="0.25">
      <c r="A38" s="12">
        <v>43172</v>
      </c>
      <c r="B38" s="124" t="s">
        <v>534</v>
      </c>
      <c r="C38" s="5" t="s">
        <v>103</v>
      </c>
      <c r="D38" s="5" t="s">
        <v>14</v>
      </c>
      <c r="E38" s="5" t="s">
        <v>79</v>
      </c>
      <c r="F38" s="5" t="s">
        <v>58</v>
      </c>
      <c r="G38" s="129" t="s">
        <v>257</v>
      </c>
      <c r="H38" s="13">
        <f>58082.45+1574.04</f>
        <v>59656.49</v>
      </c>
      <c r="I38" s="130">
        <f>4720.17+4239.48+4780.07+4359.36+4668.7+4464.17</f>
        <v>27231.949999999997</v>
      </c>
      <c r="J38" s="50" t="s">
        <v>74</v>
      </c>
      <c r="K38" s="5" t="s">
        <v>102</v>
      </c>
      <c r="L38" s="5" t="s">
        <v>121</v>
      </c>
      <c r="M38" s="155" t="s">
        <v>591</v>
      </c>
      <c r="N38" s="155" t="s">
        <v>591</v>
      </c>
      <c r="O38" s="155" t="s">
        <v>591</v>
      </c>
      <c r="P38" s="155" t="s">
        <v>591</v>
      </c>
      <c r="Q38" s="155" t="s">
        <v>591</v>
      </c>
      <c r="R38" s="155" t="s">
        <v>591</v>
      </c>
      <c r="S38" s="155" t="s">
        <v>591</v>
      </c>
      <c r="T38" s="155" t="s">
        <v>591</v>
      </c>
      <c r="U38" s="155" t="s">
        <v>591</v>
      </c>
      <c r="V38" s="155" t="s">
        <v>591</v>
      </c>
      <c r="W38" s="155" t="s">
        <v>591</v>
      </c>
      <c r="X38" s="155" t="s">
        <v>591</v>
      </c>
      <c r="Y38" s="155" t="s">
        <v>591</v>
      </c>
      <c r="Z38" s="155" t="s">
        <v>591</v>
      </c>
      <c r="AA38" s="155" t="s">
        <v>591</v>
      </c>
      <c r="AB38" s="155" t="s">
        <v>591</v>
      </c>
      <c r="AC38" s="155" t="s">
        <v>591</v>
      </c>
      <c r="AD38" s="155" t="s">
        <v>591</v>
      </c>
      <c r="AE38" s="155" t="s">
        <v>591</v>
      </c>
      <c r="AF38" s="155" t="s">
        <v>591</v>
      </c>
      <c r="AG38" s="155" t="s">
        <v>591</v>
      </c>
      <c r="AH38" s="155" t="s">
        <v>591</v>
      </c>
      <c r="AI38" s="155" t="s">
        <v>591</v>
      </c>
      <c r="AJ38" s="155" t="s">
        <v>591</v>
      </c>
      <c r="AK38" s="155" t="s">
        <v>591</v>
      </c>
      <c r="AL38" s="155" t="s">
        <v>591</v>
      </c>
      <c r="AM38" s="155" t="s">
        <v>591</v>
      </c>
      <c r="AN38" s="155" t="s">
        <v>591</v>
      </c>
      <c r="AO38" s="155" t="s">
        <v>591</v>
      </c>
      <c r="AP38" s="155" t="s">
        <v>591</v>
      </c>
      <c r="AQ38" s="155" t="s">
        <v>591</v>
      </c>
      <c r="AR38" s="155" t="s">
        <v>591</v>
      </c>
      <c r="AS38" s="155" t="s">
        <v>591</v>
      </c>
      <c r="AT38" s="155" t="s">
        <v>591</v>
      </c>
      <c r="AU38" s="155" t="s">
        <v>591</v>
      </c>
      <c r="AV38" s="155" t="s">
        <v>591</v>
      </c>
      <c r="AW38" s="155" t="s">
        <v>591</v>
      </c>
      <c r="AX38" s="155" t="s">
        <v>591</v>
      </c>
      <c r="AY38" s="155" t="s">
        <v>591</v>
      </c>
      <c r="AZ38" s="155" t="s">
        <v>591</v>
      </c>
      <c r="BA38" s="155" t="s">
        <v>591</v>
      </c>
      <c r="BB38" s="155" t="s">
        <v>591</v>
      </c>
      <c r="BC38" s="155" t="s">
        <v>591</v>
      </c>
      <c r="BD38" s="155" t="s">
        <v>591</v>
      </c>
      <c r="BE38" s="155" t="s">
        <v>591</v>
      </c>
      <c r="BF38" s="155" t="s">
        <v>591</v>
      </c>
      <c r="BG38" s="155" t="s">
        <v>591</v>
      </c>
      <c r="BH38" s="155" t="s">
        <v>591</v>
      </c>
      <c r="BI38" s="155" t="s">
        <v>591</v>
      </c>
      <c r="BJ38" s="155" t="s">
        <v>591</v>
      </c>
      <c r="BK38" s="155" t="s">
        <v>591</v>
      </c>
      <c r="BL38" s="155" t="s">
        <v>591</v>
      </c>
      <c r="BM38" s="155" t="s">
        <v>591</v>
      </c>
      <c r="BN38" s="155" t="s">
        <v>591</v>
      </c>
      <c r="BO38" s="155" t="s">
        <v>591</v>
      </c>
      <c r="BP38" s="155" t="s">
        <v>591</v>
      </c>
      <c r="BQ38" s="155" t="s">
        <v>591</v>
      </c>
      <c r="BR38" s="155" t="s">
        <v>591</v>
      </c>
      <c r="BS38" s="155" t="s">
        <v>591</v>
      </c>
      <c r="BT38" s="155" t="s">
        <v>591</v>
      </c>
      <c r="BU38" s="155" t="s">
        <v>591</v>
      </c>
      <c r="BV38" s="155" t="s">
        <v>591</v>
      </c>
      <c r="BW38" s="155" t="s">
        <v>591</v>
      </c>
      <c r="BX38" s="155" t="s">
        <v>591</v>
      </c>
      <c r="BY38" s="155" t="s">
        <v>591</v>
      </c>
      <c r="BZ38" s="155" t="s">
        <v>591</v>
      </c>
      <c r="CA38" s="155" t="s">
        <v>591</v>
      </c>
      <c r="CB38" s="155" t="s">
        <v>591</v>
      </c>
      <c r="CC38" s="155" t="s">
        <v>591</v>
      </c>
      <c r="CD38" s="155" t="s">
        <v>591</v>
      </c>
    </row>
    <row r="39" spans="1:82" s="2" customFormat="1" ht="50.1" customHeight="1" x14ac:dyDescent="0.25">
      <c r="A39" s="12">
        <v>43215</v>
      </c>
      <c r="B39" s="124" t="s">
        <v>543</v>
      </c>
      <c r="C39" s="5" t="s">
        <v>104</v>
      </c>
      <c r="D39" s="5" t="s">
        <v>16</v>
      </c>
      <c r="E39" s="5" t="s">
        <v>81</v>
      </c>
      <c r="F39" s="5" t="s">
        <v>82</v>
      </c>
      <c r="G39" s="129" t="s">
        <v>279</v>
      </c>
      <c r="H39" s="13">
        <f>36344+6608</f>
        <v>42952</v>
      </c>
      <c r="I39" s="130">
        <f>3304+3304+3304.9+3303.1+3304+3304</f>
        <v>19824</v>
      </c>
      <c r="J39" s="50" t="s">
        <v>74</v>
      </c>
      <c r="K39" s="5" t="s">
        <v>105</v>
      </c>
      <c r="L39" s="5" t="s">
        <v>122</v>
      </c>
      <c r="M39" s="155" t="s">
        <v>591</v>
      </c>
      <c r="N39" s="155" t="s">
        <v>591</v>
      </c>
      <c r="O39" s="155" t="s">
        <v>591</v>
      </c>
      <c r="P39" s="155" t="s">
        <v>591</v>
      </c>
      <c r="Q39" s="155" t="s">
        <v>591</v>
      </c>
      <c r="R39" s="155" t="s">
        <v>591</v>
      </c>
      <c r="S39" s="155" t="s">
        <v>591</v>
      </c>
      <c r="T39" s="155" t="s">
        <v>591</v>
      </c>
      <c r="U39" s="155" t="s">
        <v>591</v>
      </c>
      <c r="V39" s="155" t="s">
        <v>591</v>
      </c>
      <c r="W39" s="155" t="s">
        <v>591</v>
      </c>
      <c r="X39" s="155" t="s">
        <v>591</v>
      </c>
      <c r="Y39" s="155" t="s">
        <v>591</v>
      </c>
      <c r="Z39" s="155" t="s">
        <v>591</v>
      </c>
      <c r="AA39" s="155" t="s">
        <v>591</v>
      </c>
      <c r="AB39" s="155" t="s">
        <v>591</v>
      </c>
      <c r="AC39" s="155" t="s">
        <v>591</v>
      </c>
      <c r="AD39" s="155" t="s">
        <v>591</v>
      </c>
      <c r="AE39" s="155" t="s">
        <v>591</v>
      </c>
      <c r="AF39" s="155" t="s">
        <v>591</v>
      </c>
      <c r="AG39" s="155" t="s">
        <v>591</v>
      </c>
      <c r="AH39" s="155" t="s">
        <v>591</v>
      </c>
      <c r="AI39" s="155" t="s">
        <v>591</v>
      </c>
      <c r="AJ39" s="155" t="s">
        <v>591</v>
      </c>
      <c r="AK39" s="155" t="s">
        <v>591</v>
      </c>
      <c r="AL39" s="155" t="s">
        <v>591</v>
      </c>
      <c r="AM39" s="155" t="s">
        <v>591</v>
      </c>
      <c r="AN39" s="155" t="s">
        <v>591</v>
      </c>
      <c r="AO39" s="155" t="s">
        <v>591</v>
      </c>
      <c r="AP39" s="155" t="s">
        <v>591</v>
      </c>
      <c r="AQ39" s="155" t="s">
        <v>591</v>
      </c>
      <c r="AR39" s="155" t="s">
        <v>591</v>
      </c>
      <c r="AS39" s="155" t="s">
        <v>591</v>
      </c>
      <c r="AT39" s="155" t="s">
        <v>591</v>
      </c>
      <c r="AU39" s="155" t="s">
        <v>591</v>
      </c>
      <c r="AV39" s="155" t="s">
        <v>591</v>
      </c>
      <c r="AW39" s="155" t="s">
        <v>591</v>
      </c>
      <c r="AX39" s="155" t="s">
        <v>591</v>
      </c>
      <c r="AY39" s="155" t="s">
        <v>591</v>
      </c>
      <c r="AZ39" s="155" t="s">
        <v>591</v>
      </c>
      <c r="BA39" s="155" t="s">
        <v>591</v>
      </c>
      <c r="BB39" s="155" t="s">
        <v>591</v>
      </c>
      <c r="BC39" s="155" t="s">
        <v>591</v>
      </c>
      <c r="BD39" s="155" t="s">
        <v>591</v>
      </c>
      <c r="BE39" s="155" t="s">
        <v>591</v>
      </c>
      <c r="BF39" s="155" t="s">
        <v>591</v>
      </c>
      <c r="BG39" s="155" t="s">
        <v>591</v>
      </c>
      <c r="BH39" s="155" t="s">
        <v>591</v>
      </c>
      <c r="BI39" s="155" t="s">
        <v>591</v>
      </c>
      <c r="BJ39" s="155" t="s">
        <v>591</v>
      </c>
      <c r="BK39" s="155" t="s">
        <v>591</v>
      </c>
      <c r="BL39" s="155" t="s">
        <v>591</v>
      </c>
      <c r="BM39" s="155" t="s">
        <v>591</v>
      </c>
      <c r="BN39" s="155" t="s">
        <v>591</v>
      </c>
      <c r="BO39" s="155" t="s">
        <v>591</v>
      </c>
      <c r="BP39" s="155" t="s">
        <v>591</v>
      </c>
      <c r="BQ39" s="155" t="s">
        <v>591</v>
      </c>
      <c r="BR39" s="155" t="s">
        <v>591</v>
      </c>
      <c r="BS39" s="155" t="s">
        <v>591</v>
      </c>
      <c r="BT39" s="155" t="s">
        <v>591</v>
      </c>
      <c r="BU39" s="155" t="s">
        <v>591</v>
      </c>
      <c r="BV39" s="155" t="s">
        <v>591</v>
      </c>
      <c r="BW39" s="155" t="s">
        <v>591</v>
      </c>
      <c r="BX39" s="155" t="s">
        <v>591</v>
      </c>
      <c r="BY39" s="155" t="s">
        <v>591</v>
      </c>
      <c r="BZ39" s="155" t="s">
        <v>591</v>
      </c>
      <c r="CA39" s="155" t="s">
        <v>591</v>
      </c>
      <c r="CB39" s="155" t="s">
        <v>591</v>
      </c>
      <c r="CC39" s="155" t="s">
        <v>591</v>
      </c>
      <c r="CD39" s="155" t="s">
        <v>591</v>
      </c>
    </row>
    <row r="40" spans="1:82" s="2" customFormat="1" ht="50.1" customHeight="1" x14ac:dyDescent="0.25">
      <c r="A40" s="128">
        <v>43889</v>
      </c>
      <c r="B40" s="145" t="s">
        <v>333</v>
      </c>
      <c r="C40" s="129" t="s">
        <v>210</v>
      </c>
      <c r="D40" s="129" t="s">
        <v>227</v>
      </c>
      <c r="E40" s="129" t="s">
        <v>247</v>
      </c>
      <c r="F40" s="174" t="s">
        <v>590</v>
      </c>
      <c r="G40" s="129" t="s">
        <v>275</v>
      </c>
      <c r="H40" s="148">
        <v>0</v>
      </c>
      <c r="I40" s="130">
        <f>329833.37+323958.56+323769.05</f>
        <v>977560.98</v>
      </c>
      <c r="J40" s="170" t="s">
        <v>74</v>
      </c>
      <c r="K40" s="131" t="s">
        <v>441</v>
      </c>
      <c r="L40" s="131" t="s">
        <v>442</v>
      </c>
      <c r="M40" s="131" t="s">
        <v>443</v>
      </c>
      <c r="N40" s="131" t="s">
        <v>444</v>
      </c>
      <c r="O40" s="131" t="s">
        <v>445</v>
      </c>
      <c r="P40" s="131" t="s">
        <v>446</v>
      </c>
      <c r="Q40" s="131" t="s">
        <v>447</v>
      </c>
      <c r="R40" s="131" t="s">
        <v>448</v>
      </c>
      <c r="S40" s="131" t="s">
        <v>449</v>
      </c>
      <c r="T40" s="131" t="s">
        <v>450</v>
      </c>
      <c r="U40" s="131" t="s">
        <v>451</v>
      </c>
      <c r="V40" s="131" t="s">
        <v>452</v>
      </c>
      <c r="W40" s="131" t="s">
        <v>453</v>
      </c>
      <c r="X40" s="131" t="s">
        <v>454</v>
      </c>
      <c r="Y40" s="131" t="s">
        <v>506</v>
      </c>
      <c r="Z40" s="131" t="s">
        <v>507</v>
      </c>
      <c r="AA40" s="131" t="s">
        <v>508</v>
      </c>
      <c r="AB40" s="131" t="s">
        <v>509</v>
      </c>
      <c r="AC40" s="131" t="s">
        <v>455</v>
      </c>
      <c r="AD40" s="131" t="s">
        <v>456</v>
      </c>
      <c r="AE40" s="131" t="s">
        <v>457</v>
      </c>
      <c r="AF40" s="131" t="s">
        <v>458</v>
      </c>
      <c r="AG40" s="131" t="s">
        <v>586</v>
      </c>
      <c r="AH40" s="160" t="s">
        <v>510</v>
      </c>
      <c r="AI40" s="131" t="s">
        <v>460</v>
      </c>
      <c r="AJ40" s="131" t="s">
        <v>461</v>
      </c>
      <c r="AK40" s="131" t="s">
        <v>462</v>
      </c>
      <c r="AL40" s="131" t="s">
        <v>463</v>
      </c>
      <c r="AM40" s="131" t="s">
        <v>464</v>
      </c>
      <c r="AN40" s="131" t="s">
        <v>465</v>
      </c>
      <c r="AO40" s="131" t="s">
        <v>511</v>
      </c>
      <c r="AP40" s="131" t="s">
        <v>512</v>
      </c>
      <c r="AQ40" s="131" t="s">
        <v>466</v>
      </c>
      <c r="AR40" s="131" t="s">
        <v>467</v>
      </c>
      <c r="AS40" s="131" t="s">
        <v>513</v>
      </c>
      <c r="AT40" s="131" t="s">
        <v>514</v>
      </c>
      <c r="AU40" s="131" t="s">
        <v>468</v>
      </c>
      <c r="AV40" s="131" t="s">
        <v>469</v>
      </c>
      <c r="AW40" s="131" t="s">
        <v>515</v>
      </c>
      <c r="AX40" s="131" t="s">
        <v>516</v>
      </c>
      <c r="AY40" s="131" t="s">
        <v>470</v>
      </c>
      <c r="AZ40" s="131" t="s">
        <v>471</v>
      </c>
      <c r="BA40" s="131" t="s">
        <v>472</v>
      </c>
      <c r="BB40" s="131" t="s">
        <v>473</v>
      </c>
      <c r="BC40" s="131" t="s">
        <v>474</v>
      </c>
      <c r="BD40" s="131" t="s">
        <v>475</v>
      </c>
      <c r="BE40" s="131" t="s">
        <v>476</v>
      </c>
      <c r="BF40" s="131" t="s">
        <v>517</v>
      </c>
      <c r="BG40" s="131" t="s">
        <v>518</v>
      </c>
      <c r="BH40" s="131" t="s">
        <v>519</v>
      </c>
      <c r="BI40" s="131" t="s">
        <v>520</v>
      </c>
      <c r="BJ40" s="131" t="s">
        <v>521</v>
      </c>
      <c r="BK40" s="131" t="s">
        <v>522</v>
      </c>
      <c r="BL40" s="131" t="s">
        <v>523</v>
      </c>
      <c r="BM40" s="131" t="s">
        <v>524</v>
      </c>
      <c r="BN40" s="131" t="s">
        <v>525</v>
      </c>
      <c r="BO40" s="131" t="s">
        <v>526</v>
      </c>
      <c r="BP40" s="131" t="s">
        <v>527</v>
      </c>
      <c r="BQ40" s="131" t="s">
        <v>528</v>
      </c>
      <c r="BR40" s="131" t="s">
        <v>529</v>
      </c>
      <c r="BS40" s="131" t="s">
        <v>478</v>
      </c>
      <c r="BT40" s="131" t="s">
        <v>479</v>
      </c>
      <c r="BU40" s="131" t="s">
        <v>530</v>
      </c>
      <c r="BV40" s="131" t="s">
        <v>531</v>
      </c>
      <c r="BW40" s="131" t="s">
        <v>480</v>
      </c>
      <c r="BX40" s="131" t="s">
        <v>481</v>
      </c>
      <c r="BY40" s="131" t="s">
        <v>484</v>
      </c>
      <c r="BZ40" s="131" t="s">
        <v>485</v>
      </c>
      <c r="CA40" s="131" t="s">
        <v>488</v>
      </c>
      <c r="CB40" s="131" t="s">
        <v>489</v>
      </c>
      <c r="CC40" s="131" t="s">
        <v>532</v>
      </c>
      <c r="CD40" s="131" t="s">
        <v>533</v>
      </c>
    </row>
    <row r="41" spans="1:82" s="2" customFormat="1" ht="33.75" x14ac:dyDescent="0.25">
      <c r="A41" s="12">
        <v>43234</v>
      </c>
      <c r="B41" s="124" t="s">
        <v>544</v>
      </c>
      <c r="C41" s="5" t="s">
        <v>106</v>
      </c>
      <c r="D41" s="5" t="s">
        <v>83</v>
      </c>
      <c r="E41" s="5" t="s">
        <v>84</v>
      </c>
      <c r="F41" s="5" t="s">
        <v>85</v>
      </c>
      <c r="G41" s="138"/>
      <c r="H41" s="13">
        <f>18172+25178.62</f>
        <v>43350.619999999995</v>
      </c>
      <c r="I41" s="13">
        <v>0</v>
      </c>
      <c r="J41" s="50" t="s">
        <v>569</v>
      </c>
      <c r="K41" s="160" t="s">
        <v>379</v>
      </c>
      <c r="L41" s="160" t="s">
        <v>380</v>
      </c>
      <c r="M41" s="160" t="s">
        <v>381</v>
      </c>
      <c r="N41" s="160" t="s">
        <v>382</v>
      </c>
      <c r="O41" s="160" t="s">
        <v>383</v>
      </c>
      <c r="P41" s="160" t="s">
        <v>384</v>
      </c>
      <c r="Q41" s="160" t="s">
        <v>385</v>
      </c>
      <c r="R41" s="160" t="s">
        <v>386</v>
      </c>
      <c r="S41" s="160" t="s">
        <v>387</v>
      </c>
      <c r="T41" s="160" t="s">
        <v>388</v>
      </c>
      <c r="U41" s="160" t="s">
        <v>389</v>
      </c>
      <c r="V41" s="160" t="s">
        <v>390</v>
      </c>
      <c r="W41" s="160" t="s">
        <v>391</v>
      </c>
      <c r="X41" s="160" t="s">
        <v>392</v>
      </c>
      <c r="Y41" s="160" t="s">
        <v>393</v>
      </c>
      <c r="Z41" s="160" t="s">
        <v>394</v>
      </c>
      <c r="AA41" s="160" t="s">
        <v>585</v>
      </c>
      <c r="AB41" s="160" t="s">
        <v>395</v>
      </c>
      <c r="AC41" s="160" t="s">
        <v>396</v>
      </c>
      <c r="AD41" s="160" t="s">
        <v>397</v>
      </c>
      <c r="AE41" s="160" t="s">
        <v>398</v>
      </c>
      <c r="AF41" s="160" t="s">
        <v>399</v>
      </c>
      <c r="AG41" s="160"/>
      <c r="AH41" s="160" t="s">
        <v>400</v>
      </c>
      <c r="AI41" s="160" t="s">
        <v>592</v>
      </c>
      <c r="AJ41" s="160" t="s">
        <v>401</v>
      </c>
      <c r="AK41" s="160" t="s">
        <v>593</v>
      </c>
      <c r="AL41" s="160" t="s">
        <v>402</v>
      </c>
      <c r="AM41" s="160" t="s">
        <v>594</v>
      </c>
      <c r="AN41" s="160" t="s">
        <v>403</v>
      </c>
      <c r="AO41" s="160" t="s">
        <v>404</v>
      </c>
      <c r="AP41" s="160" t="s">
        <v>405</v>
      </c>
      <c r="AQ41" s="160" t="s">
        <v>406</v>
      </c>
      <c r="AR41" s="160" t="s">
        <v>407</v>
      </c>
      <c r="AS41" s="160"/>
      <c r="AT41" s="160" t="s">
        <v>408</v>
      </c>
      <c r="AU41" s="160" t="s">
        <v>409</v>
      </c>
      <c r="AV41" s="160" t="s">
        <v>410</v>
      </c>
      <c r="AW41" s="160" t="s">
        <v>595</v>
      </c>
      <c r="AX41" s="160" t="s">
        <v>411</v>
      </c>
      <c r="AY41" s="160" t="s">
        <v>412</v>
      </c>
      <c r="AZ41" s="160" t="s">
        <v>413</v>
      </c>
      <c r="BA41" s="160" t="s">
        <v>414</v>
      </c>
      <c r="BB41" s="160" t="s">
        <v>415</v>
      </c>
      <c r="BC41" s="160" t="s">
        <v>416</v>
      </c>
      <c r="BD41" s="160" t="s">
        <v>417</v>
      </c>
      <c r="BE41" s="160" t="s">
        <v>418</v>
      </c>
      <c r="BF41" s="160" t="s">
        <v>419</v>
      </c>
      <c r="BG41" s="160" t="s">
        <v>420</v>
      </c>
      <c r="BH41" s="160" t="s">
        <v>421</v>
      </c>
      <c r="BI41" s="160" t="s">
        <v>422</v>
      </c>
      <c r="BJ41" s="160" t="s">
        <v>423</v>
      </c>
      <c r="BK41" s="160" t="s">
        <v>424</v>
      </c>
      <c r="BL41" s="160" t="s">
        <v>425</v>
      </c>
      <c r="BM41" s="160" t="s">
        <v>426</v>
      </c>
      <c r="BN41" s="160" t="s">
        <v>427</v>
      </c>
      <c r="BO41" s="160" t="s">
        <v>428</v>
      </c>
      <c r="BP41" s="160" t="s">
        <v>429</v>
      </c>
      <c r="BQ41" s="160" t="s">
        <v>430</v>
      </c>
      <c r="BR41" s="160" t="s">
        <v>431</v>
      </c>
      <c r="BS41" s="160" t="s">
        <v>432</v>
      </c>
      <c r="BT41" s="160" t="s">
        <v>433</v>
      </c>
      <c r="BU41" s="160" t="s">
        <v>434</v>
      </c>
      <c r="BV41" s="160" t="s">
        <v>435</v>
      </c>
      <c r="BW41" s="160" t="s">
        <v>436</v>
      </c>
      <c r="BX41" s="160" t="s">
        <v>437</v>
      </c>
      <c r="BY41" s="160"/>
      <c r="BZ41" s="160" t="s">
        <v>438</v>
      </c>
      <c r="CA41" s="160" t="s">
        <v>439</v>
      </c>
      <c r="CB41" s="160" t="s">
        <v>440</v>
      </c>
      <c r="CC41" s="155" t="s">
        <v>591</v>
      </c>
      <c r="CD41" s="155" t="s">
        <v>591</v>
      </c>
    </row>
    <row r="42" spans="1:82" s="2" customFormat="1" ht="55.5" customHeight="1" x14ac:dyDescent="0.25">
      <c r="A42" s="12">
        <v>43662</v>
      </c>
      <c r="B42" s="124" t="s">
        <v>537</v>
      </c>
      <c r="C42" s="5" t="s">
        <v>107</v>
      </c>
      <c r="D42" s="5" t="s">
        <v>18</v>
      </c>
      <c r="E42" s="5" t="s">
        <v>71</v>
      </c>
      <c r="F42" s="5" t="s">
        <v>73</v>
      </c>
      <c r="G42" s="5" t="s">
        <v>255</v>
      </c>
      <c r="H42" s="13">
        <f>3714.51+5814.97+5774.94+4844.17+5272.02+5515.68+4834.34+7843.49+7100.14+8545.81+8288.01+9126.81+11589.91</f>
        <v>88264.799999999988</v>
      </c>
      <c r="I42" s="13">
        <f>7713.59+7130.18+6516.35+8751.14</f>
        <v>30111.260000000002</v>
      </c>
      <c r="J42" s="50" t="s">
        <v>74</v>
      </c>
      <c r="K42" s="5" t="s">
        <v>108</v>
      </c>
      <c r="L42" s="5" t="s">
        <v>123</v>
      </c>
      <c r="M42" s="5" t="s">
        <v>124</v>
      </c>
      <c r="N42" s="5" t="s">
        <v>125</v>
      </c>
      <c r="O42" s="5" t="s">
        <v>126</v>
      </c>
      <c r="P42" s="5" t="s">
        <v>127</v>
      </c>
      <c r="Q42" s="155" t="s">
        <v>591</v>
      </c>
      <c r="R42" s="155" t="s">
        <v>591</v>
      </c>
      <c r="S42" s="155" t="s">
        <v>591</v>
      </c>
      <c r="T42" s="155" t="s">
        <v>591</v>
      </c>
      <c r="U42" s="155" t="s">
        <v>591</v>
      </c>
      <c r="V42" s="155" t="s">
        <v>591</v>
      </c>
      <c r="W42" s="155" t="s">
        <v>591</v>
      </c>
      <c r="X42" s="155" t="s">
        <v>591</v>
      </c>
      <c r="Y42" s="155" t="s">
        <v>591</v>
      </c>
      <c r="Z42" s="155" t="s">
        <v>591</v>
      </c>
      <c r="AA42" s="155" t="s">
        <v>591</v>
      </c>
      <c r="AB42" s="155" t="s">
        <v>591</v>
      </c>
      <c r="AC42" s="155" t="s">
        <v>591</v>
      </c>
      <c r="AD42" s="155" t="s">
        <v>591</v>
      </c>
      <c r="AE42" s="155" t="s">
        <v>591</v>
      </c>
      <c r="AF42" s="155" t="s">
        <v>591</v>
      </c>
      <c r="AG42" s="155" t="s">
        <v>591</v>
      </c>
      <c r="AH42" s="155" t="s">
        <v>591</v>
      </c>
      <c r="AI42" s="155" t="s">
        <v>591</v>
      </c>
      <c r="AJ42" s="155" t="s">
        <v>591</v>
      </c>
      <c r="AK42" s="155" t="s">
        <v>591</v>
      </c>
      <c r="AL42" s="155" t="s">
        <v>591</v>
      </c>
      <c r="AM42" s="155" t="s">
        <v>591</v>
      </c>
      <c r="AN42" s="155" t="s">
        <v>591</v>
      </c>
      <c r="AO42" s="155" t="s">
        <v>591</v>
      </c>
      <c r="AP42" s="155" t="s">
        <v>591</v>
      </c>
      <c r="AQ42" s="155" t="s">
        <v>591</v>
      </c>
      <c r="AR42" s="155" t="s">
        <v>591</v>
      </c>
      <c r="AS42" s="155" t="s">
        <v>591</v>
      </c>
      <c r="AT42" s="155" t="s">
        <v>591</v>
      </c>
      <c r="AU42" s="155" t="s">
        <v>591</v>
      </c>
      <c r="AV42" s="155" t="s">
        <v>591</v>
      </c>
      <c r="AW42" s="155" t="s">
        <v>591</v>
      </c>
      <c r="AX42" s="155" t="s">
        <v>591</v>
      </c>
      <c r="AY42" s="155" t="s">
        <v>591</v>
      </c>
      <c r="AZ42" s="155" t="s">
        <v>591</v>
      </c>
      <c r="BA42" s="155" t="s">
        <v>591</v>
      </c>
      <c r="BB42" s="155" t="s">
        <v>591</v>
      </c>
      <c r="BC42" s="155" t="s">
        <v>591</v>
      </c>
      <c r="BD42" s="155" t="s">
        <v>591</v>
      </c>
      <c r="BE42" s="155" t="s">
        <v>591</v>
      </c>
      <c r="BF42" s="155" t="s">
        <v>591</v>
      </c>
      <c r="BG42" s="155" t="s">
        <v>591</v>
      </c>
      <c r="BH42" s="155" t="s">
        <v>591</v>
      </c>
      <c r="BI42" s="155" t="s">
        <v>591</v>
      </c>
      <c r="BJ42" s="155" t="s">
        <v>591</v>
      </c>
      <c r="BK42" s="155" t="s">
        <v>591</v>
      </c>
      <c r="BL42" s="155" t="s">
        <v>591</v>
      </c>
      <c r="BM42" s="155" t="s">
        <v>591</v>
      </c>
      <c r="BN42" s="155" t="s">
        <v>591</v>
      </c>
      <c r="BO42" s="155" t="s">
        <v>591</v>
      </c>
      <c r="BP42" s="155" t="s">
        <v>591</v>
      </c>
      <c r="BQ42" s="155" t="s">
        <v>591</v>
      </c>
      <c r="BR42" s="155" t="s">
        <v>591</v>
      </c>
      <c r="BS42" s="155" t="s">
        <v>591</v>
      </c>
      <c r="BT42" s="155" t="s">
        <v>591</v>
      </c>
      <c r="BU42" s="155" t="s">
        <v>591</v>
      </c>
      <c r="BV42" s="155" t="s">
        <v>591</v>
      </c>
      <c r="BW42" s="155" t="s">
        <v>591</v>
      </c>
      <c r="BX42" s="155" t="s">
        <v>591</v>
      </c>
      <c r="BY42" s="155" t="s">
        <v>591</v>
      </c>
      <c r="BZ42" s="155" t="s">
        <v>591</v>
      </c>
      <c r="CA42" s="155" t="s">
        <v>591</v>
      </c>
      <c r="CB42" s="155" t="s">
        <v>591</v>
      </c>
      <c r="CC42" s="155" t="s">
        <v>591</v>
      </c>
      <c r="CD42" s="155" t="s">
        <v>591</v>
      </c>
    </row>
    <row r="43" spans="1:82" x14ac:dyDescent="0.25">
      <c r="G43" s="132"/>
    </row>
  </sheetData>
  <autoFilter ref="A5:CD43">
    <filterColumn colId="10" showButton="0"/>
    <filterColumn colId="12" showButton="0"/>
    <filterColumn colId="14" showButton="0"/>
    <filterColumn colId="16" showButton="0"/>
    <filterColumn colId="18" showButton="0"/>
    <filterColumn colId="20" showButton="0"/>
    <filterColumn colId="22" showButton="0"/>
    <filterColumn colId="24" showButton="0"/>
    <filterColumn colId="26" showButton="0"/>
    <filterColumn colId="28" showButton="0"/>
    <filterColumn colId="30" showButton="0"/>
    <filterColumn colId="32" showButton="0"/>
    <filterColumn colId="34" showButton="0"/>
    <filterColumn colId="36" showButton="0"/>
    <filterColumn colId="38" showButton="0"/>
    <filterColumn colId="40" showButton="0"/>
    <filterColumn colId="42" showButton="0"/>
    <filterColumn colId="44" showButton="0"/>
    <filterColumn colId="46" showButton="0"/>
    <filterColumn colId="48" showButton="0"/>
    <filterColumn colId="50" showButton="0"/>
    <filterColumn colId="52" showButton="0"/>
    <filterColumn colId="54" showButton="0"/>
    <filterColumn colId="56" showButton="0"/>
  </autoFilter>
  <sortState ref="A7:P64">
    <sortCondition ref="B7:B64"/>
  </sortState>
  <mergeCells count="46">
    <mergeCell ref="BC5:BD5"/>
    <mergeCell ref="BE5:BF5"/>
    <mergeCell ref="AS5:AT5"/>
    <mergeCell ref="AU5:AV5"/>
    <mergeCell ref="AW5:AX5"/>
    <mergeCell ref="AY5:AZ5"/>
    <mergeCell ref="BA5:BB5"/>
    <mergeCell ref="AI5:AJ5"/>
    <mergeCell ref="AK5:AL5"/>
    <mergeCell ref="AM5:AN5"/>
    <mergeCell ref="AO5:AP5"/>
    <mergeCell ref="AQ5:AR5"/>
    <mergeCell ref="Y5:Z5"/>
    <mergeCell ref="AA5:AB5"/>
    <mergeCell ref="AC5:AD5"/>
    <mergeCell ref="AE5:AF5"/>
    <mergeCell ref="AG5:AH5"/>
    <mergeCell ref="Q5:R5"/>
    <mergeCell ref="S5:T5"/>
    <mergeCell ref="U5:V5"/>
    <mergeCell ref="W5:X5"/>
    <mergeCell ref="K5:L5"/>
    <mergeCell ref="M5:N5"/>
    <mergeCell ref="O5:P5"/>
    <mergeCell ref="A5:A6"/>
    <mergeCell ref="B5:B6"/>
    <mergeCell ref="C5:C6"/>
    <mergeCell ref="D5:D6"/>
    <mergeCell ref="E5:E6"/>
    <mergeCell ref="H5:H6"/>
    <mergeCell ref="I5:I6"/>
    <mergeCell ref="J5:J6"/>
    <mergeCell ref="F5:F6"/>
    <mergeCell ref="G5:G6"/>
    <mergeCell ref="BG5:BH5"/>
    <mergeCell ref="BI5:BJ5"/>
    <mergeCell ref="BK5:BL5"/>
    <mergeCell ref="BM5:BN5"/>
    <mergeCell ref="BO5:BP5"/>
    <mergeCell ref="CA5:CB5"/>
    <mergeCell ref="CC5:CD5"/>
    <mergeCell ref="BQ5:BR5"/>
    <mergeCell ref="BS5:BT5"/>
    <mergeCell ref="BU5:BV5"/>
    <mergeCell ref="BW5:BX5"/>
    <mergeCell ref="BY5:BZ5"/>
  </mergeCells>
  <pageMargins left="0.19685039370078741" right="0.19685039370078741" top="1.1417322834645669" bottom="0.98425196850393704" header="0.31496062992125984" footer="0.31496062992125984"/>
  <pageSetup paperSize="9" scale="70" orientation="landscape" r:id="rId1"/>
  <headerFooter>
    <oddHeader>&amp;L&amp;G</oddHeader>
    <oddFooter>&amp;C  Rua Galileu Galilei nº 1800 sala 605 – Bairro Condomínio Itamaraty –14024-193 – Ribeirão Preto – SP
Fone: (16) 3505 8197 – E-mail: contabilidade@faepa.br
   CNPJ 57.722.118/0005-74 – Sede Administrativa
&amp;R&amp;8&amp;F</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1"/>
  <sheetViews>
    <sheetView topLeftCell="A4" workbookViewId="0">
      <selection activeCell="C15" sqref="C15"/>
    </sheetView>
  </sheetViews>
  <sheetFormatPr defaultRowHeight="15" x14ac:dyDescent="0.25"/>
  <cols>
    <col min="1" max="15" width="9.140625" style="26"/>
  </cols>
  <sheetData>
    <row r="1" spans="1:16" ht="30" customHeight="1" thickBot="1" x14ac:dyDescent="0.3">
      <c r="A1" s="69">
        <v>43474</v>
      </c>
      <c r="B1" s="70" t="s">
        <v>175</v>
      </c>
      <c r="C1" s="71" t="s">
        <v>100</v>
      </c>
      <c r="D1" s="71" t="s">
        <v>23</v>
      </c>
      <c r="E1" s="72" t="s">
        <v>24</v>
      </c>
      <c r="F1" s="73" t="s">
        <v>26</v>
      </c>
      <c r="G1" s="73"/>
      <c r="H1" s="74">
        <v>2490</v>
      </c>
      <c r="I1" s="75"/>
      <c r="J1" s="76"/>
      <c r="K1" s="77" t="s">
        <v>118</v>
      </c>
      <c r="L1" s="77" t="s">
        <v>117</v>
      </c>
      <c r="M1" s="78"/>
      <c r="N1" s="2"/>
      <c r="O1" s="2"/>
      <c r="P1" s="2"/>
    </row>
    <row r="2" spans="1:16" ht="30" customHeight="1" thickBot="1" x14ac:dyDescent="0.3">
      <c r="A2" s="79">
        <v>43474</v>
      </c>
      <c r="B2" s="80" t="s">
        <v>175</v>
      </c>
      <c r="C2" s="81" t="s">
        <v>100</v>
      </c>
      <c r="D2" s="82" t="s">
        <v>23</v>
      </c>
      <c r="E2" s="82" t="s">
        <v>24</v>
      </c>
      <c r="F2" s="82" t="s">
        <v>26</v>
      </c>
      <c r="G2" s="83"/>
      <c r="H2" s="84">
        <f>1245+1245+2490+2490+2490+4980+2490+2490+2490</f>
        <v>22410</v>
      </c>
      <c r="I2" s="85"/>
      <c r="J2" s="82" t="s">
        <v>75</v>
      </c>
      <c r="K2" s="86" t="s">
        <v>118</v>
      </c>
      <c r="L2" s="86" t="s">
        <v>117</v>
      </c>
      <c r="M2" s="87" t="s">
        <v>99</v>
      </c>
      <c r="N2" s="64" t="s">
        <v>119</v>
      </c>
      <c r="O2" s="2"/>
      <c r="P2" s="2"/>
    </row>
    <row r="3" spans="1:16" ht="30" customHeight="1" x14ac:dyDescent="0.25">
      <c r="A3" s="88">
        <v>43481</v>
      </c>
      <c r="B3" s="89" t="s">
        <v>176</v>
      </c>
      <c r="C3" s="90" t="s">
        <v>98</v>
      </c>
      <c r="D3" s="91" t="s">
        <v>29</v>
      </c>
      <c r="E3" s="92" t="s">
        <v>30</v>
      </c>
      <c r="F3" s="93" t="s">
        <v>32</v>
      </c>
      <c r="G3" s="93"/>
      <c r="H3" s="94">
        <v>4921.76</v>
      </c>
      <c r="I3" s="94"/>
      <c r="J3" s="76" t="s">
        <v>74</v>
      </c>
      <c r="K3" s="91" t="s">
        <v>99</v>
      </c>
      <c r="L3" s="91" t="s">
        <v>119</v>
      </c>
      <c r="M3" s="78"/>
      <c r="N3" s="2"/>
      <c r="O3" s="2"/>
      <c r="P3" s="14"/>
    </row>
    <row r="4" spans="1:16" ht="30" customHeight="1" x14ac:dyDescent="0.25">
      <c r="A4" s="95">
        <v>43481</v>
      </c>
      <c r="B4" s="96" t="s">
        <v>176</v>
      </c>
      <c r="C4" s="97" t="s">
        <v>133</v>
      </c>
      <c r="D4" s="98" t="s">
        <v>29</v>
      </c>
      <c r="E4" s="98" t="s">
        <v>30</v>
      </c>
      <c r="F4" s="98" t="s">
        <v>32</v>
      </c>
      <c r="G4" s="99"/>
      <c r="H4" s="100">
        <f>4921.76+4992.65+5281.59+4883.09+4343.99+4261.12+4125.93+4414.42+4620</f>
        <v>41844.550000000003</v>
      </c>
      <c r="I4" s="101"/>
      <c r="J4" s="98" t="s">
        <v>75</v>
      </c>
      <c r="K4" s="102" t="s">
        <v>99</v>
      </c>
      <c r="L4" s="102" t="s">
        <v>159</v>
      </c>
      <c r="M4" s="87"/>
      <c r="N4" s="64"/>
      <c r="O4" s="24"/>
      <c r="P4" s="14"/>
    </row>
    <row r="5" spans="1:16" ht="30" customHeight="1" x14ac:dyDescent="0.25">
      <c r="A5" s="33">
        <v>43705</v>
      </c>
      <c r="B5" s="44" t="s">
        <v>194</v>
      </c>
      <c r="C5" s="28" t="s">
        <v>106</v>
      </c>
      <c r="D5" s="31" t="s">
        <v>76</v>
      </c>
      <c r="E5" s="31" t="s">
        <v>146</v>
      </c>
      <c r="F5" s="32"/>
      <c r="G5" s="52"/>
      <c r="H5" s="34" t="s">
        <v>158</v>
      </c>
      <c r="I5" s="59"/>
      <c r="J5" s="5" t="s">
        <v>75</v>
      </c>
      <c r="K5" s="23" t="s">
        <v>120</v>
      </c>
      <c r="L5" s="23" t="s">
        <v>120</v>
      </c>
      <c r="P5" s="14"/>
    </row>
    <row r="6" spans="1:16" ht="30" customHeight="1" x14ac:dyDescent="0.25">
      <c r="A6" s="46">
        <v>43712</v>
      </c>
      <c r="B6" s="48" t="s">
        <v>195</v>
      </c>
      <c r="C6" s="29" t="s">
        <v>138</v>
      </c>
      <c r="D6" s="37" t="s">
        <v>142</v>
      </c>
      <c r="E6" s="37" t="s">
        <v>147</v>
      </c>
      <c r="F6" s="37" t="s">
        <v>153</v>
      </c>
      <c r="G6" s="54"/>
      <c r="H6" s="57">
        <f>17118.25+9461.77+24527.61+28258.64+27045+32387.36+30179.89+31096.52+28086.32+29542.31+29543.26+29470.37+30029.15</f>
        <v>346746.45</v>
      </c>
      <c r="I6" s="62"/>
      <c r="J6" s="22" t="s">
        <v>75</v>
      </c>
      <c r="K6" s="31" t="s">
        <v>166</v>
      </c>
      <c r="L6" s="31" t="s">
        <v>167</v>
      </c>
      <c r="P6" s="14"/>
    </row>
    <row r="7" spans="1:16" ht="30" customHeight="1" x14ac:dyDescent="0.25">
      <c r="A7" s="103">
        <v>43717</v>
      </c>
      <c r="B7" s="104" t="s">
        <v>196</v>
      </c>
      <c r="C7" s="105" t="s">
        <v>114</v>
      </c>
      <c r="D7" s="106" t="s">
        <v>21</v>
      </c>
      <c r="E7" s="106" t="s">
        <v>148</v>
      </c>
      <c r="F7" s="106" t="s">
        <v>154</v>
      </c>
      <c r="G7" s="107"/>
      <c r="H7" s="108">
        <f>3*12000+8*14000</f>
        <v>148000</v>
      </c>
      <c r="I7" s="109"/>
      <c r="J7" s="106" t="s">
        <v>75</v>
      </c>
      <c r="K7" s="98" t="s">
        <v>115</v>
      </c>
      <c r="L7" s="98" t="s">
        <v>168</v>
      </c>
      <c r="P7" s="14"/>
    </row>
    <row r="8" spans="1:16" ht="30" customHeight="1" x14ac:dyDescent="0.25">
      <c r="A8" s="110">
        <v>43607</v>
      </c>
      <c r="B8" s="111" t="s">
        <v>185</v>
      </c>
      <c r="C8" s="112" t="s">
        <v>134</v>
      </c>
      <c r="D8" s="113" t="s">
        <v>35</v>
      </c>
      <c r="E8" s="113" t="s">
        <v>36</v>
      </c>
      <c r="F8" s="113" t="s">
        <v>38</v>
      </c>
      <c r="G8" s="114"/>
      <c r="H8" s="115">
        <f>2044.8+2556+2556+2556</f>
        <v>9712.7999999999993</v>
      </c>
      <c r="I8" s="114"/>
      <c r="J8" s="113" t="s">
        <v>75</v>
      </c>
      <c r="K8" s="98" t="s">
        <v>120</v>
      </c>
      <c r="L8" s="98" t="s">
        <v>120</v>
      </c>
      <c r="M8" s="24"/>
      <c r="N8" s="24"/>
      <c r="O8" s="24"/>
      <c r="P8" s="14"/>
    </row>
    <row r="9" spans="1:16" ht="30" customHeight="1" x14ac:dyDescent="0.25">
      <c r="A9" s="45">
        <v>43738</v>
      </c>
      <c r="B9" s="47" t="s">
        <v>197</v>
      </c>
      <c r="C9" s="30" t="s">
        <v>128</v>
      </c>
      <c r="D9" s="38" t="s">
        <v>90</v>
      </c>
      <c r="E9" s="38" t="s">
        <v>149</v>
      </c>
      <c r="F9" s="38" t="s">
        <v>155</v>
      </c>
      <c r="G9" s="53"/>
      <c r="H9" s="56">
        <f>282791.95+286898+287087.51+287213.85+286582.15+286518.98+284181.69+285129.24+286266.3+286392.64+288161.4+287466.53</f>
        <v>3434690.24</v>
      </c>
      <c r="I9" s="61"/>
      <c r="J9" s="15" t="s">
        <v>75</v>
      </c>
      <c r="K9" s="23" t="s">
        <v>120</v>
      </c>
      <c r="L9" s="23" t="s">
        <v>120</v>
      </c>
      <c r="P9" s="14"/>
    </row>
    <row r="10" spans="1:16" s="78" customFormat="1" ht="30" customHeight="1" x14ac:dyDescent="0.25">
      <c r="A10" s="103">
        <v>43612</v>
      </c>
      <c r="B10" s="104" t="s">
        <v>186</v>
      </c>
      <c r="C10" s="105" t="s">
        <v>135</v>
      </c>
      <c r="D10" s="106" t="s">
        <v>41</v>
      </c>
      <c r="E10" s="106" t="s">
        <v>42</v>
      </c>
      <c r="F10" s="106" t="s">
        <v>44</v>
      </c>
      <c r="G10" s="107"/>
      <c r="H10" s="108">
        <f>6*280</f>
        <v>1680</v>
      </c>
      <c r="I10" s="109"/>
      <c r="J10" s="106" t="s">
        <v>75</v>
      </c>
      <c r="K10" s="98" t="s">
        <v>160</v>
      </c>
      <c r="L10" s="98" t="s">
        <v>161</v>
      </c>
      <c r="P10" s="116"/>
    </row>
    <row r="11" spans="1:16" s="78" customFormat="1" ht="30" customHeight="1" x14ac:dyDescent="0.25">
      <c r="A11" s="117">
        <v>43752</v>
      </c>
      <c r="B11" s="118" t="s">
        <v>186</v>
      </c>
      <c r="C11" s="119" t="s">
        <v>139</v>
      </c>
      <c r="D11" s="120" t="s">
        <v>143</v>
      </c>
      <c r="E11" s="120" t="s">
        <v>150</v>
      </c>
      <c r="F11" s="120" t="s">
        <v>156</v>
      </c>
      <c r="G11" s="121"/>
      <c r="H11" s="122">
        <f>47080.2+48649.54+48649.54+45870.44+50785.12+49146.9+50785.13+49146.9+50785.13+50785.13+49146.9+50785.13</f>
        <v>591616.06000000006</v>
      </c>
      <c r="I11" s="123"/>
      <c r="J11" s="120" t="s">
        <v>75</v>
      </c>
      <c r="K11" s="98" t="s">
        <v>169</v>
      </c>
      <c r="L11" s="98" t="s">
        <v>170</v>
      </c>
      <c r="P11" s="116"/>
    </row>
    <row r="12" spans="1:16" ht="30" customHeight="1" x14ac:dyDescent="0.25">
      <c r="A12" s="12">
        <v>43372</v>
      </c>
      <c r="B12" s="43" t="s">
        <v>183</v>
      </c>
      <c r="C12" s="5" t="s">
        <v>128</v>
      </c>
      <c r="D12" s="5" t="s">
        <v>90</v>
      </c>
      <c r="E12" s="5" t="s">
        <v>91</v>
      </c>
      <c r="F12" s="5" t="s">
        <v>78</v>
      </c>
      <c r="G12" s="5"/>
      <c r="H12" s="13">
        <f>282791.95+286898</f>
        <v>569689.94999999995</v>
      </c>
      <c r="I12" s="13"/>
      <c r="J12" s="5" t="s">
        <v>75</v>
      </c>
      <c r="K12" s="23" t="s">
        <v>120</v>
      </c>
      <c r="L12" s="23" t="s">
        <v>120</v>
      </c>
      <c r="M12" s="14"/>
      <c r="N12" s="14"/>
      <c r="O12" s="14"/>
      <c r="P12" s="14"/>
    </row>
    <row r="13" spans="1:16" ht="30" customHeight="1" x14ac:dyDescent="0.25">
      <c r="A13" s="12">
        <v>43433</v>
      </c>
      <c r="B13" s="43" t="s">
        <v>183</v>
      </c>
      <c r="C13" s="5" t="s">
        <v>128</v>
      </c>
      <c r="D13" s="5" t="s">
        <v>90</v>
      </c>
      <c r="E13" s="5" t="s">
        <v>94</v>
      </c>
      <c r="F13" s="17" t="s">
        <v>78</v>
      </c>
      <c r="G13" s="17"/>
      <c r="H13" s="13">
        <f>282791.95+286898</f>
        <v>569689.94999999995</v>
      </c>
      <c r="I13" s="13"/>
      <c r="J13" s="5" t="s">
        <v>75</v>
      </c>
      <c r="K13" s="23" t="s">
        <v>120</v>
      </c>
      <c r="L13" s="23" t="s">
        <v>120</v>
      </c>
      <c r="M13" s="14"/>
      <c r="N13" s="14"/>
      <c r="O13" s="14"/>
      <c r="P13" s="14"/>
    </row>
    <row r="14" spans="1:16" ht="30" customHeight="1" x14ac:dyDescent="0.25">
      <c r="A14" s="33">
        <v>43787</v>
      </c>
      <c r="B14" s="44" t="s">
        <v>198</v>
      </c>
      <c r="C14" s="28" t="s">
        <v>140</v>
      </c>
      <c r="D14" s="31" t="s">
        <v>144</v>
      </c>
      <c r="E14" s="31" t="s">
        <v>151</v>
      </c>
      <c r="F14" s="31" t="s">
        <v>157</v>
      </c>
      <c r="G14" s="52"/>
      <c r="H14" s="34">
        <f>11*450</f>
        <v>4950</v>
      </c>
      <c r="I14" s="59"/>
      <c r="J14" s="5" t="s">
        <v>75</v>
      </c>
      <c r="K14" s="31" t="s">
        <v>171</v>
      </c>
      <c r="L14" s="31" t="s">
        <v>172</v>
      </c>
      <c r="M14" s="66" t="s">
        <v>173</v>
      </c>
      <c r="N14" s="66" t="s">
        <v>174</v>
      </c>
      <c r="P14" s="14"/>
    </row>
    <row r="15" spans="1:16" ht="30" customHeight="1" x14ac:dyDescent="0.25">
      <c r="A15" s="12">
        <v>43390</v>
      </c>
      <c r="B15" s="43" t="s">
        <v>184</v>
      </c>
      <c r="C15" s="22" t="s">
        <v>114</v>
      </c>
      <c r="D15" s="5" t="s">
        <v>21</v>
      </c>
      <c r="E15" s="5" t="s">
        <v>92</v>
      </c>
      <c r="F15" s="5" t="s">
        <v>93</v>
      </c>
      <c r="G15" s="51"/>
      <c r="H15" s="13">
        <f>12000+12000</f>
        <v>24000</v>
      </c>
      <c r="I15" s="58"/>
      <c r="J15" s="5" t="s">
        <v>75</v>
      </c>
      <c r="K15" s="5" t="s">
        <v>115</v>
      </c>
      <c r="L15" s="5" t="s">
        <v>116</v>
      </c>
      <c r="M15" s="65"/>
      <c r="N15" s="65"/>
      <c r="O15" s="14"/>
      <c r="P15" s="2"/>
    </row>
    <row r="16" spans="1:16" ht="30" customHeight="1" x14ac:dyDescent="0.25">
      <c r="A16" s="33">
        <v>43654</v>
      </c>
      <c r="B16" s="44" t="s">
        <v>187</v>
      </c>
      <c r="C16" s="28" t="s">
        <v>100</v>
      </c>
      <c r="D16" s="31" t="s">
        <v>23</v>
      </c>
      <c r="E16" s="31" t="s">
        <v>47</v>
      </c>
      <c r="F16" s="31" t="s">
        <v>48</v>
      </c>
      <c r="G16" s="4"/>
      <c r="H16" s="34">
        <f>1088.1</f>
        <v>1088.0999999999999</v>
      </c>
      <c r="I16" s="3"/>
      <c r="J16" s="5" t="s">
        <v>75</v>
      </c>
      <c r="K16" s="35" t="s">
        <v>118</v>
      </c>
      <c r="L16" s="35" t="s">
        <v>117</v>
      </c>
      <c r="M16" s="36" t="s">
        <v>99</v>
      </c>
      <c r="N16" s="36" t="s">
        <v>119</v>
      </c>
      <c r="P16" s="24"/>
    </row>
    <row r="17" spans="1:16" ht="30" customHeight="1" x14ac:dyDescent="0.25">
      <c r="A17" s="12">
        <v>43371</v>
      </c>
      <c r="B17" s="43" t="s">
        <v>177</v>
      </c>
      <c r="C17" s="5" t="s">
        <v>101</v>
      </c>
      <c r="D17" s="5" t="s">
        <v>76</v>
      </c>
      <c r="E17" s="5" t="s">
        <v>77</v>
      </c>
      <c r="F17" s="5" t="s">
        <v>78</v>
      </c>
      <c r="G17" s="51"/>
      <c r="H17" s="13">
        <f>1614.8+1598.9</f>
        <v>3213.7</v>
      </c>
      <c r="I17" s="58"/>
      <c r="J17" s="5" t="s">
        <v>75</v>
      </c>
      <c r="K17" s="39" t="s">
        <v>120</v>
      </c>
      <c r="L17" s="39" t="s">
        <v>120</v>
      </c>
      <c r="M17" s="14"/>
      <c r="N17" s="14"/>
      <c r="O17" s="14"/>
      <c r="P17" s="24"/>
    </row>
    <row r="18" spans="1:16" ht="30" customHeight="1" x14ac:dyDescent="0.25">
      <c r="A18" s="33">
        <v>43731</v>
      </c>
      <c r="B18" s="44" t="s">
        <v>188</v>
      </c>
      <c r="C18" s="28" t="s">
        <v>136</v>
      </c>
      <c r="D18" s="31" t="s">
        <v>141</v>
      </c>
      <c r="E18" s="31" t="s">
        <v>145</v>
      </c>
      <c r="F18" s="31" t="s">
        <v>152</v>
      </c>
      <c r="G18" s="4"/>
      <c r="H18" s="34">
        <f>1240</f>
        <v>1240</v>
      </c>
      <c r="I18" s="3"/>
      <c r="J18" s="5" t="s">
        <v>75</v>
      </c>
      <c r="K18" s="37" t="s">
        <v>162</v>
      </c>
      <c r="L18" s="37" t="s">
        <v>163</v>
      </c>
      <c r="M18" s="66" t="s">
        <v>164</v>
      </c>
      <c r="N18" s="66" t="s">
        <v>165</v>
      </c>
      <c r="P18" s="26"/>
    </row>
    <row r="19" spans="1:16" ht="30" customHeight="1" x14ac:dyDescent="0.25">
      <c r="A19" s="33">
        <v>43530</v>
      </c>
      <c r="B19" s="44" t="s">
        <v>189</v>
      </c>
      <c r="C19" s="29" t="s">
        <v>137</v>
      </c>
      <c r="D19" s="31" t="s">
        <v>12</v>
      </c>
      <c r="E19" s="31" t="s">
        <v>52</v>
      </c>
      <c r="F19" s="31" t="s">
        <v>54</v>
      </c>
      <c r="G19" s="4"/>
      <c r="H19" s="34">
        <f>768+768+384+384+384+384+384+384+847.44+384+384+24.9+384+384+384+384+384+862.8+384+384+384+468.56+726.2+384+384+384+384+384+384+473.68+384+384+384+768+401.43+478.8+384+384+384+478.8+478.8+384+384+384+17.43+384+384+384+384+384+862.8+862.8+384+384+384+24.9+768+384+862.8+396.45+478.8+384+862.8+384+384+768+384+384+384+384+384+384+384+384+408.9+384+478.8+187.52+384+384+384+384+384+384+408.9+384+573.6+384+384+384+384+384+768+478.8+726.2+198+198+198+198+198+207.18+207.18+207.18+207.18+11.51+207.18+11.51+207.18+11.51+804+402+804+768+768+384+768+384+94.8+384+768+768+384+402+501.2+859.35+402+402+830.06+402+501.2+804+402+501.2+402+428.06+804+501.2+402+402+428.06+859.35+402+402+501.2+402+402+99.2+804+527.26+402+402+501.2+501.2+402+501.2+903.2+501.2+99.2+402+402+804+18.24+1261.35+501.2+402+402+804+428.06+402+527.26+402+804+501.2+402+1261.35+402+402+804+501.2+402+402+402+804+760.15+804+501.2+402+402+501.2+402+402+804+402+402+402+804+830.06+402+402+358.15+402+99.2+830.06+402+402+428.06+402+402+501.2+402+804+804+501.2+402+402</f>
        <v>99800.199999999924</v>
      </c>
      <c r="I19" s="3"/>
      <c r="J19" s="5" t="s">
        <v>75</v>
      </c>
      <c r="K19" s="63" t="s">
        <v>120</v>
      </c>
      <c r="L19" s="63" t="s">
        <v>120</v>
      </c>
      <c r="M19" s="37"/>
      <c r="N19" s="37"/>
      <c r="P19" s="26"/>
    </row>
    <row r="20" spans="1:16" ht="30" customHeight="1" x14ac:dyDescent="0.25">
      <c r="A20" s="12">
        <v>43172</v>
      </c>
      <c r="B20" s="43" t="s">
        <v>178</v>
      </c>
      <c r="C20" s="5" t="s">
        <v>103</v>
      </c>
      <c r="D20" s="5" t="s">
        <v>14</v>
      </c>
      <c r="E20" s="5" t="s">
        <v>79</v>
      </c>
      <c r="F20" s="5" t="s">
        <v>80</v>
      </c>
      <c r="G20" s="51"/>
      <c r="H20" s="13">
        <f>61.02+1513.02</f>
        <v>1574.04</v>
      </c>
      <c r="I20" s="58"/>
      <c r="J20" s="5" t="s">
        <v>75</v>
      </c>
      <c r="K20" s="5" t="s">
        <v>102</v>
      </c>
      <c r="L20" s="5" t="s">
        <v>121</v>
      </c>
      <c r="M20" s="65"/>
      <c r="N20" s="65"/>
      <c r="O20" s="14"/>
      <c r="P20" s="26"/>
    </row>
    <row r="21" spans="1:16" ht="30" customHeight="1" x14ac:dyDescent="0.25">
      <c r="A21" s="33">
        <v>43538</v>
      </c>
      <c r="B21" s="44" t="s">
        <v>190</v>
      </c>
      <c r="C21" s="28" t="s">
        <v>103</v>
      </c>
      <c r="D21" s="31" t="s">
        <v>14</v>
      </c>
      <c r="E21" s="31" t="s">
        <v>56</v>
      </c>
      <c r="F21" s="31" t="s">
        <v>58</v>
      </c>
      <c r="G21" s="4"/>
      <c r="H21" s="34">
        <f>4645.66+3193.66+3951.58+4978.08+6313.35+5930.22+4049.91+4240.32+4515.45+5188.74+5241.72+5833.76</f>
        <v>58082.450000000004</v>
      </c>
      <c r="I21" s="3"/>
      <c r="J21" s="5" t="s">
        <v>75</v>
      </c>
      <c r="K21" s="22" t="s">
        <v>102</v>
      </c>
      <c r="L21" s="22" t="s">
        <v>121</v>
      </c>
      <c r="M21" s="67"/>
      <c r="N21" s="67"/>
      <c r="P21" s="26"/>
    </row>
    <row r="22" spans="1:16" ht="30" customHeight="1" x14ac:dyDescent="0.25">
      <c r="A22" s="12">
        <v>43215</v>
      </c>
      <c r="B22" s="43" t="s">
        <v>179</v>
      </c>
      <c r="C22" s="5" t="s">
        <v>104</v>
      </c>
      <c r="D22" s="5" t="s">
        <v>16</v>
      </c>
      <c r="E22" s="5" t="s">
        <v>81</v>
      </c>
      <c r="F22" s="5" t="s">
        <v>82</v>
      </c>
      <c r="G22" s="51"/>
      <c r="H22" s="13">
        <f>3304+3304</f>
        <v>6608</v>
      </c>
      <c r="I22" s="58"/>
      <c r="J22" s="5" t="s">
        <v>75</v>
      </c>
      <c r="K22" s="22" t="s">
        <v>105</v>
      </c>
      <c r="L22" s="22" t="s">
        <v>122</v>
      </c>
      <c r="M22" s="14"/>
      <c r="N22" s="14"/>
      <c r="O22" s="14"/>
      <c r="P22" s="26"/>
    </row>
    <row r="23" spans="1:16" ht="30" customHeight="1" x14ac:dyDescent="0.25">
      <c r="A23" s="33">
        <v>43585</v>
      </c>
      <c r="B23" s="44" t="s">
        <v>191</v>
      </c>
      <c r="C23" s="28" t="s">
        <v>104</v>
      </c>
      <c r="D23" s="31" t="s">
        <v>16</v>
      </c>
      <c r="E23" s="31" t="s">
        <v>63</v>
      </c>
      <c r="F23" s="31" t="s">
        <v>65</v>
      </c>
      <c r="G23" s="4"/>
      <c r="H23" s="34">
        <f>3304*11</f>
        <v>36344</v>
      </c>
      <c r="I23" s="3"/>
      <c r="J23" s="5" t="s">
        <v>75</v>
      </c>
      <c r="K23" s="22" t="s">
        <v>105</v>
      </c>
      <c r="L23" s="22" t="s">
        <v>122</v>
      </c>
      <c r="P23" s="26"/>
    </row>
    <row r="24" spans="1:16" ht="30" customHeight="1" x14ac:dyDescent="0.25">
      <c r="A24" s="12">
        <v>43234</v>
      </c>
      <c r="B24" s="43" t="s">
        <v>180</v>
      </c>
      <c r="C24" s="5" t="s">
        <v>106</v>
      </c>
      <c r="D24" s="5" t="s">
        <v>83</v>
      </c>
      <c r="E24" s="5" t="s">
        <v>84</v>
      </c>
      <c r="F24" s="5" t="s">
        <v>85</v>
      </c>
      <c r="G24" s="51"/>
      <c r="H24" s="13">
        <f>18172+25178.62</f>
        <v>43350.619999999995</v>
      </c>
      <c r="I24" s="58"/>
      <c r="J24" s="5" t="s">
        <v>75</v>
      </c>
      <c r="K24" s="23" t="s">
        <v>120</v>
      </c>
      <c r="L24" s="23" t="s">
        <v>120</v>
      </c>
      <c r="M24" s="65"/>
      <c r="N24" s="65"/>
      <c r="O24" s="14"/>
      <c r="P24" s="26"/>
    </row>
    <row r="25" spans="1:16" ht="30" customHeight="1" x14ac:dyDescent="0.25">
      <c r="A25" s="12">
        <v>43277</v>
      </c>
      <c r="B25" s="41" t="s">
        <v>181</v>
      </c>
      <c r="C25" s="22" t="s">
        <v>107</v>
      </c>
      <c r="D25" s="5" t="s">
        <v>18</v>
      </c>
      <c r="E25" s="5" t="s">
        <v>86</v>
      </c>
      <c r="F25" s="50" t="s">
        <v>87</v>
      </c>
      <c r="G25" s="11"/>
      <c r="H25" s="55">
        <f>5814.97+5774.94</f>
        <v>11589.91</v>
      </c>
      <c r="I25" s="60"/>
      <c r="J25" s="5" t="s">
        <v>75</v>
      </c>
      <c r="K25" s="5" t="s">
        <v>108</v>
      </c>
      <c r="L25" s="5" t="s">
        <v>123</v>
      </c>
      <c r="M25" s="68"/>
      <c r="N25" s="68"/>
      <c r="O25" s="68"/>
      <c r="P25" s="5" t="s">
        <v>127</v>
      </c>
    </row>
    <row r="26" spans="1:16" ht="30" customHeight="1" x14ac:dyDescent="0.25">
      <c r="A26" s="33">
        <v>43657</v>
      </c>
      <c r="B26" s="44" t="s">
        <v>192</v>
      </c>
      <c r="C26" s="28" t="s">
        <v>109</v>
      </c>
      <c r="D26" s="31" t="s">
        <v>20</v>
      </c>
      <c r="E26" s="31" t="s">
        <v>67</v>
      </c>
      <c r="F26" s="31" t="s">
        <v>69</v>
      </c>
      <c r="G26" s="4"/>
      <c r="H26" s="34">
        <f>572*11</f>
        <v>6292</v>
      </c>
      <c r="I26" s="3"/>
      <c r="J26" s="5" t="s">
        <v>75</v>
      </c>
      <c r="K26" s="22" t="s">
        <v>110</v>
      </c>
      <c r="L26" s="22" t="s">
        <v>111</v>
      </c>
      <c r="M26" s="51" t="s">
        <v>112</v>
      </c>
      <c r="N26" s="51" t="s">
        <v>113</v>
      </c>
      <c r="P26" s="26"/>
    </row>
    <row r="27" spans="1:16" ht="30" customHeight="1" x14ac:dyDescent="0.25">
      <c r="A27" s="33">
        <v>43662</v>
      </c>
      <c r="B27" s="44" t="s">
        <v>193</v>
      </c>
      <c r="C27" s="5" t="s">
        <v>107</v>
      </c>
      <c r="D27" s="31" t="s">
        <v>18</v>
      </c>
      <c r="E27" s="31" t="s">
        <v>71</v>
      </c>
      <c r="F27" s="31" t="s">
        <v>73</v>
      </c>
      <c r="G27" s="4"/>
      <c r="H27" s="34">
        <f>3714.51+5814.97+5774.94+4844.17+5272.02+5515.68+4834.34+7843.49+7100.14+8545.81+8288.01+9126.81</f>
        <v>76674.889999999985</v>
      </c>
      <c r="I27" s="3"/>
      <c r="J27" s="5" t="s">
        <v>75</v>
      </c>
      <c r="K27" s="22" t="s">
        <v>108</v>
      </c>
      <c r="L27" s="22" t="s">
        <v>123</v>
      </c>
      <c r="M27" s="51" t="s">
        <v>124</v>
      </c>
      <c r="N27" s="51" t="s">
        <v>125</v>
      </c>
      <c r="O27" s="51" t="s">
        <v>126</v>
      </c>
      <c r="P27" s="26"/>
    </row>
    <row r="28" spans="1:16" ht="30" customHeight="1" x14ac:dyDescent="0.25">
      <c r="A28" s="12">
        <v>43304</v>
      </c>
      <c r="B28" s="41" t="s">
        <v>182</v>
      </c>
      <c r="C28" s="5" t="s">
        <v>109</v>
      </c>
      <c r="D28" s="5" t="s">
        <v>20</v>
      </c>
      <c r="E28" s="49" t="s">
        <v>88</v>
      </c>
      <c r="F28" s="50" t="s">
        <v>89</v>
      </c>
      <c r="G28" s="11"/>
      <c r="H28" s="55">
        <f>572+572</f>
        <v>1144</v>
      </c>
      <c r="I28" s="60"/>
      <c r="J28" s="5" t="s">
        <v>75</v>
      </c>
      <c r="K28" s="22" t="s">
        <v>110</v>
      </c>
      <c r="L28" s="22" t="s">
        <v>111</v>
      </c>
      <c r="M28" s="14"/>
      <c r="N28" s="14"/>
      <c r="O28" s="14"/>
      <c r="P28" s="26"/>
    </row>
    <row r="29" spans="1:16" ht="30" customHeight="1" x14ac:dyDescent="0.25">
      <c r="A29" s="12"/>
      <c r="B29" s="41"/>
      <c r="C29" s="5"/>
      <c r="D29" s="5"/>
      <c r="E29" s="5"/>
      <c r="F29" s="50"/>
      <c r="G29" s="11"/>
      <c r="H29" s="55"/>
      <c r="I29" s="60"/>
      <c r="J29" s="5"/>
      <c r="K29" s="22" t="s">
        <v>124</v>
      </c>
      <c r="L29" s="22" t="s">
        <v>125</v>
      </c>
      <c r="M29" s="14"/>
      <c r="N29" s="14"/>
      <c r="O29" s="14"/>
      <c r="P29" s="26"/>
    </row>
    <row r="30" spans="1:16" ht="30" customHeight="1" x14ac:dyDescent="0.25">
      <c r="A30" s="12"/>
      <c r="B30" s="41"/>
      <c r="C30" s="5"/>
      <c r="D30" s="5"/>
      <c r="E30" s="5"/>
      <c r="F30" s="50"/>
      <c r="G30" s="11"/>
      <c r="H30" s="55"/>
      <c r="I30" s="60"/>
      <c r="J30" s="5"/>
      <c r="K30" s="22" t="s">
        <v>126</v>
      </c>
      <c r="L30" s="22" t="s">
        <v>127</v>
      </c>
      <c r="M30" s="14"/>
      <c r="N30" s="14"/>
      <c r="O30" s="14"/>
      <c r="P30" s="26"/>
    </row>
    <row r="31" spans="1:16" ht="30" customHeight="1" x14ac:dyDescent="0.25">
      <c r="A31" s="12"/>
      <c r="B31" s="41"/>
      <c r="C31" s="5"/>
      <c r="D31" s="5"/>
      <c r="E31" s="49"/>
      <c r="F31" s="50"/>
      <c r="G31" s="11"/>
      <c r="H31" s="55"/>
      <c r="I31" s="60"/>
      <c r="J31" s="5"/>
      <c r="K31" s="5" t="s">
        <v>112</v>
      </c>
      <c r="L31" s="5" t="s">
        <v>113</v>
      </c>
      <c r="M31" s="65"/>
      <c r="N31" s="65"/>
      <c r="O31" s="14"/>
      <c r="P31" s="26"/>
    </row>
  </sheetData>
  <sortState ref="A1:O31">
    <sortCondition ref="B1:B31"/>
  </sortState>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PRIMARIO</vt:lpstr>
      <vt:lpstr>RR</vt:lpstr>
      <vt:lpstr>inciso</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2020-08-07T14:25:51Z</dcterms:modified>
</cp:coreProperties>
</file>